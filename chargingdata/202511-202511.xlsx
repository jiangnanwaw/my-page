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M30" i="1" l="1"/>
  <c r="J34" i="1"/>
  <c r="M34" i="1" s="1"/>
  <c r="L34" i="1" s="1"/>
  <c r="H35" i="1"/>
  <c r="J35" i="1" s="1"/>
  <c r="M35" i="1" s="1"/>
  <c r="L35" i="1" s="1"/>
  <c r="J32" i="1"/>
  <c r="M32" i="1" s="1"/>
  <c r="L32" i="1" s="1"/>
  <c r="J31" i="1"/>
  <c r="M31" i="1" s="1"/>
  <c r="L31" i="1" s="1"/>
  <c r="J30" i="1"/>
  <c r="M11" i="1"/>
  <c r="M8" i="1"/>
  <c r="L30" i="1" l="1"/>
  <c r="M12" i="1"/>
  <c r="J33" i="1"/>
  <c r="M33" i="1" s="1"/>
  <c r="L33" i="1" s="1"/>
</calcChain>
</file>

<file path=xl/sharedStrings.xml><?xml version="1.0" encoding="utf-8"?>
<sst xmlns="http://schemas.openxmlformats.org/spreadsheetml/2006/main" count="99" uniqueCount="80">
  <si>
    <t>充电数据分析</t>
    <phoneticPr fontId="3" type="noConversion"/>
  </si>
  <si>
    <t xml:space="preserve">单位：长沙飞狐电动汽车充电服务有限公司                                                                                  </t>
    <phoneticPr fontId="3" type="noConversion"/>
  </si>
  <si>
    <t>结算周期:2025年11月01日至11月30日</t>
    <phoneticPr fontId="3" type="noConversion"/>
  </si>
  <si>
    <t>站点</t>
    <phoneticPr fontId="3" type="noConversion"/>
  </si>
  <si>
    <t>电力户号</t>
    <phoneticPr fontId="3" type="noConversion"/>
  </si>
  <si>
    <t>充电设备
品牌</t>
    <phoneticPr fontId="3" type="noConversion"/>
  </si>
  <si>
    <t>充电电量
(kwh)</t>
    <phoneticPr fontId="3" type="noConversion"/>
  </si>
  <si>
    <t>充电电费
(元)</t>
    <phoneticPr fontId="3" type="noConversion"/>
  </si>
  <si>
    <t>充电时长
(小时)</t>
    <phoneticPr fontId="3" type="noConversion"/>
  </si>
  <si>
    <t>订单
数量</t>
    <phoneticPr fontId="3" type="noConversion"/>
  </si>
  <si>
    <t>超时占位费
(元)</t>
    <phoneticPr fontId="3" type="noConversion"/>
  </si>
  <si>
    <t>日均充电
服务费(元)</t>
    <phoneticPr fontId="3" type="noConversion"/>
  </si>
  <si>
    <t>额定总功率
(kw)</t>
    <phoneticPr fontId="3" type="noConversion"/>
  </si>
  <si>
    <t>四方坪</t>
    <phoneticPr fontId="3" type="noConversion"/>
  </si>
  <si>
    <t>4303118481453</t>
    <phoneticPr fontId="3" type="noConversion"/>
  </si>
  <si>
    <t>特来电</t>
    <phoneticPr fontId="3" type="noConversion"/>
  </si>
  <si>
    <t>101/14</t>
  </si>
  <si>
    <t>23/1</t>
  </si>
  <si>
    <t>3/0</t>
  </si>
  <si>
    <t>127/15</t>
  </si>
  <si>
    <t>12/0</t>
  </si>
  <si>
    <t>24/0</t>
  </si>
  <si>
    <t>36/0</t>
  </si>
  <si>
    <t>163/15</t>
  </si>
  <si>
    <t>站点</t>
  </si>
  <si>
    <t>电力户号</t>
  </si>
  <si>
    <t>4303118481453</t>
  </si>
  <si>
    <t>4303111439077</t>
  </si>
  <si>
    <t>4303103737893</t>
    <phoneticPr fontId="3" type="noConversion"/>
  </si>
  <si>
    <t>四方坪站小计</t>
    <phoneticPr fontId="3" type="noConversion"/>
  </si>
  <si>
    <t>一、充电平台基础数据</t>
    <phoneticPr fontId="3" type="noConversion"/>
  </si>
  <si>
    <t>充电服务费
(元)</t>
    <phoneticPr fontId="3" type="noConversion"/>
  </si>
  <si>
    <t>充电枪总数量
(可用枪数/占用枪数)</t>
    <phoneticPr fontId="3" type="noConversion"/>
  </si>
  <si>
    <t>4303111439077</t>
    <phoneticPr fontId="3" type="noConversion"/>
  </si>
  <si>
    <t>高  岭</t>
    <phoneticPr fontId="3" type="noConversion"/>
  </si>
  <si>
    <t>4350001671599</t>
    <phoneticPr fontId="3" type="noConversion"/>
  </si>
  <si>
    <t>特来电</t>
    <phoneticPr fontId="3" type="noConversion"/>
  </si>
  <si>
    <t>华  为</t>
    <phoneticPr fontId="3" type="noConversion"/>
  </si>
  <si>
    <t>高岭站小计</t>
    <phoneticPr fontId="3" type="noConversion"/>
  </si>
  <si>
    <t>总    计</t>
    <phoneticPr fontId="3" type="noConversion"/>
  </si>
  <si>
    <t>二、电力局购电与损耗</t>
    <phoneticPr fontId="3" type="noConversion"/>
  </si>
  <si>
    <t>购电量
(kwh)</t>
    <phoneticPr fontId="3" type="noConversion"/>
  </si>
  <si>
    <t>购电成本
(元)</t>
    <phoneticPr fontId="3" type="noConversion"/>
  </si>
  <si>
    <t xml:space="preserve"> 功率因数
  调整电费(元)</t>
    <phoneticPr fontId="3" type="noConversion"/>
  </si>
  <si>
    <t>总电损
(kwh)</t>
    <phoneticPr fontId="3" type="noConversion"/>
  </si>
  <si>
    <t>日电损
(kwh)</t>
    <phoneticPr fontId="3" type="noConversion"/>
  </si>
  <si>
    <t>电损率</t>
    <phoneticPr fontId="3" type="noConversion"/>
  </si>
  <si>
    <t>购电平均
电价(元/kwh))</t>
    <phoneticPr fontId="3" type="noConversion"/>
  </si>
  <si>
    <t>每kwh总成本
(元)</t>
    <phoneticPr fontId="3" type="noConversion"/>
  </si>
  <si>
    <t>功率利用率</t>
    <phoneticPr fontId="3" type="noConversion"/>
  </si>
  <si>
    <t>四方坪</t>
    <phoneticPr fontId="3" type="noConversion"/>
  </si>
  <si>
    <t>4303118481453</t>
    <phoneticPr fontId="3" type="noConversion"/>
  </si>
  <si>
    <t>4303111439077</t>
    <phoneticPr fontId="3" type="noConversion"/>
  </si>
  <si>
    <t>四方坪站小计</t>
    <phoneticPr fontId="3" type="noConversion"/>
  </si>
  <si>
    <t>三、充电运营效率分析</t>
    <phoneticPr fontId="3" type="noConversion"/>
  </si>
  <si>
    <t>单枪日均充电
时长(小时)</t>
    <phoneticPr fontId="3" type="noConversion"/>
  </si>
  <si>
    <t>单枪日均
利用率</t>
    <phoneticPr fontId="3" type="noConversion"/>
  </si>
  <si>
    <t>单枪日均充电
电量(kwh)</t>
    <phoneticPr fontId="3" type="noConversion"/>
  </si>
  <si>
    <t>单枪日均充电
收益(元)</t>
    <phoneticPr fontId="3" type="noConversion"/>
  </si>
  <si>
    <t>平均每小时
  充电功率(kw)</t>
    <phoneticPr fontId="3" type="noConversion"/>
  </si>
  <si>
    <t>单枪日均充电
次数</t>
    <phoneticPr fontId="3" type="noConversion"/>
  </si>
  <si>
    <t>平均每笔订单
充电电量(kwh)</t>
    <phoneticPr fontId="3" type="noConversion"/>
  </si>
  <si>
    <t>平均每笔订单
充电时长(分钟)</t>
    <phoneticPr fontId="3" type="noConversion"/>
  </si>
  <si>
    <t>每kwh
收入(元)</t>
    <phoneticPr fontId="3" type="noConversion"/>
  </si>
  <si>
    <t>四方坪站平均</t>
    <phoneticPr fontId="3" type="noConversion"/>
  </si>
  <si>
    <t>两站平均</t>
    <phoneticPr fontId="3" type="noConversion"/>
  </si>
  <si>
    <t>四、充电毛利核算</t>
    <phoneticPr fontId="3" type="noConversion"/>
  </si>
  <si>
    <t>充电总收入
(元)</t>
    <phoneticPr fontId="3" type="noConversion"/>
  </si>
  <si>
    <t>充电总成本(元)</t>
    <phoneticPr fontId="3" type="noConversion"/>
  </si>
  <si>
    <t>毛        利</t>
    <phoneticPr fontId="3" type="noConversion"/>
  </si>
  <si>
    <t>总电费</t>
    <phoneticPr fontId="3" type="noConversion"/>
  </si>
  <si>
    <t>平台服务费(元)</t>
    <phoneticPr fontId="3" type="noConversion"/>
  </si>
  <si>
    <t>交易手续费</t>
    <phoneticPr fontId="3" type="noConversion"/>
  </si>
  <si>
    <t>代金券
 金额(元)</t>
    <phoneticPr fontId="3" type="noConversion"/>
  </si>
  <si>
    <t>其它</t>
    <phoneticPr fontId="3" type="noConversion"/>
  </si>
  <si>
    <t>小计</t>
    <phoneticPr fontId="3" type="noConversion"/>
  </si>
  <si>
    <t>每kwh
毛利(元)</t>
    <phoneticPr fontId="3" type="noConversion"/>
  </si>
  <si>
    <t>毛利率</t>
    <phoneticPr fontId="3" type="noConversion"/>
  </si>
  <si>
    <t>毛利润(元)</t>
    <phoneticPr fontId="3" type="noConversion"/>
  </si>
  <si>
    <t>4303103737893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</si>
</sst>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#,##0.00_ "/>
    <numFmt numFmtId="178" formatCode="#,##0.00000000000_ "/>
  </numFmts>
  <fonts count="6" x14ac:knownFonts="1">
    <font>
      <sz val="11"/>
      <color theme="1"/>
      <name val="宋体"/>
      <family val="2"/>
      <scheme val="minor"/>
    </font>
    <font>
      <b/>
      <sz val="14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 wrapText="1"/>
    </xf>
    <xf numFmtId="4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4" fontId="5" fillId="0" borderId="4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4" fontId="5" fillId="5" borderId="4" xfId="0" applyNumberFormat="1" applyFont="1" applyFill="1" applyBorder="1" applyAlignment="1">
      <alignment horizontal="center" vertical="center"/>
    </xf>
    <xf numFmtId="176" fontId="5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6" xfId="0" quotePrefix="1" applyBorder="1" applyAlignment="1">
      <alignment horizontal="center" vertical="center"/>
    </xf>
    <xf numFmtId="4" fontId="4" fillId="0" borderId="4" xfId="0" applyNumberFormat="1" applyFont="1" applyBorder="1" applyAlignment="1">
      <alignment horizontal="center" vertical="center"/>
    </xf>
    <xf numFmtId="176" fontId="4" fillId="0" borderId="4" xfId="0" applyNumberFormat="1" applyFont="1" applyBorder="1" applyAlignment="1">
      <alignment horizontal="center" vertical="center"/>
    </xf>
    <xf numFmtId="0" fontId="0" fillId="0" borderId="4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0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0" fontId="5" fillId="5" borderId="4" xfId="0" applyNumberFormat="1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0" fontId="0" fillId="5" borderId="4" xfId="0" applyNumberFormat="1" applyFill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76" fontId="5" fillId="0" borderId="4" xfId="0" applyNumberFormat="1" applyFont="1" applyBorder="1" applyAlignment="1">
      <alignment horizontal="center" vertical="center"/>
    </xf>
    <xf numFmtId="10" fontId="5" fillId="0" borderId="4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/>
    </xf>
    <xf numFmtId="176" fontId="5" fillId="5" borderId="5" xfId="0" applyNumberFormat="1" applyFont="1" applyFill="1" applyBorder="1" applyAlignment="1">
      <alignment horizontal="center" vertical="center"/>
    </xf>
    <xf numFmtId="176" fontId="4" fillId="0" borderId="5" xfId="0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0" fontId="5" fillId="0" borderId="5" xfId="0" applyNumberFormat="1" applyFont="1" applyBorder="1" applyAlignment="1">
      <alignment horizontal="center" vertical="center"/>
    </xf>
    <xf numFmtId="177" fontId="5" fillId="0" borderId="4" xfId="0" applyNumberFormat="1" applyFont="1" applyBorder="1" applyAlignment="1">
      <alignment horizontal="center" vertical="center"/>
    </xf>
    <xf numFmtId="10" fontId="5" fillId="5" borderId="5" xfId="0" applyNumberFormat="1" applyFont="1" applyFill="1" applyBorder="1" applyAlignment="1">
      <alignment horizontal="center" vertical="center"/>
    </xf>
    <xf numFmtId="177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5" xfId="0" applyNumberFormat="1" applyFont="1" applyBorder="1" applyAlignment="1">
      <alignment horizontal="center" vertical="center"/>
    </xf>
    <xf numFmtId="177" fontId="4" fillId="0" borderId="4" xfId="0" applyNumberFormat="1" applyFont="1" applyBorder="1" applyAlignment="1">
      <alignment horizontal="center" vertical="center"/>
    </xf>
    <xf numFmtId="0" fontId="0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4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176" fontId="5" fillId="5" borderId="5" xfId="0" applyNumberFormat="1" applyFont="1" applyFill="1" applyBorder="1" applyAlignment="1">
      <alignment horizontal="center" vertical="center"/>
    </xf>
    <xf numFmtId="176" fontId="5" fillId="5" borderId="6" xfId="0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4" fontId="4" fillId="0" borderId="5" xfId="0" applyNumberFormat="1" applyFon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0" fontId="5" fillId="5" borderId="5" xfId="0" quotePrefix="1" applyFont="1" applyFill="1" applyBorder="1" applyAlignment="1">
      <alignment horizontal="center" vertical="center"/>
    </xf>
    <xf numFmtId="176" fontId="4" fillId="0" borderId="5" xfId="0" applyNumberFormat="1" applyFont="1" applyBorder="1" applyAlignment="1">
      <alignment horizontal="center" vertical="center"/>
    </xf>
    <xf numFmtId="176" fontId="4" fillId="0" borderId="6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/>
    </xf>
    <xf numFmtId="176" fontId="5" fillId="0" borderId="6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Q35"/>
  <sheetViews>
    <sheetView tabSelected="1" workbookViewId="0">
      <selection activeCell="O34" sqref="O34"/>
    </sheetView>
  </sheetViews>
  <sheetFormatPr defaultRowHeight="13.5" x14ac:dyDescent="0.15"/>
  <cols>
    <col min="1" max="1" width="9" style="1"/>
    <col min="2" max="2" width="14.125" style="1" customWidth="1"/>
    <col min="3" max="3" width="9.25" style="1" customWidth="1"/>
    <col min="4" max="4" width="14.125" style="1" customWidth="1"/>
    <col min="5" max="5" width="13.375" style="1" customWidth="1"/>
    <col min="6" max="6" width="14.875" style="1" customWidth="1"/>
    <col min="7" max="7" width="15.125" style="1" customWidth="1"/>
    <col min="8" max="8" width="9.625" style="1" customWidth="1"/>
    <col min="9" max="9" width="8.25" style="1" customWidth="1"/>
    <col min="10" max="10" width="12.125" style="1" customWidth="1"/>
    <col min="11" max="11" width="15.5" style="1" customWidth="1"/>
    <col min="12" max="12" width="19.375" style="1" customWidth="1"/>
    <col min="13" max="13" width="17.75" style="1" customWidth="1"/>
    <col min="14" max="14" width="11.125" style="1" customWidth="1"/>
    <col min="15" max="15" width="20.5" style="1" bestFit="1" customWidth="1"/>
    <col min="16" max="16" width="12.75" style="1" bestFit="1" customWidth="1"/>
    <col min="17" max="17" width="14.25" style="1" customWidth="1"/>
    <col min="18" max="16384" width="9" style="1"/>
  </cols>
  <sheetData>
    <row r="1" spans="1:17" ht="27.75" customHeight="1" x14ac:dyDescent="0.1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7" ht="21.75" customHeight="1" x14ac:dyDescent="0.15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 t="s">
        <v>2</v>
      </c>
      <c r="M2" s="51"/>
    </row>
    <row r="3" spans="1:17" ht="21" customHeight="1" x14ac:dyDescent="0.15">
      <c r="A3" s="52" t="s">
        <v>30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4"/>
    </row>
    <row r="4" spans="1:17" ht="30.75" customHeight="1" x14ac:dyDescent="0.15">
      <c r="A4" s="35" t="s">
        <v>3</v>
      </c>
      <c r="B4" s="35" t="s">
        <v>4</v>
      </c>
      <c r="C4" s="2" t="s">
        <v>5</v>
      </c>
      <c r="D4" s="2" t="s">
        <v>6</v>
      </c>
      <c r="E4" s="2" t="s">
        <v>7</v>
      </c>
      <c r="F4" s="2" t="s">
        <v>31</v>
      </c>
      <c r="G4" s="2" t="s">
        <v>8</v>
      </c>
      <c r="H4" s="55" t="s">
        <v>9</v>
      </c>
      <c r="I4" s="47"/>
      <c r="J4" s="2" t="s">
        <v>10</v>
      </c>
      <c r="K4" s="2" t="s">
        <v>11</v>
      </c>
      <c r="L4" s="2" t="s">
        <v>32</v>
      </c>
      <c r="M4" s="2" t="s">
        <v>12</v>
      </c>
    </row>
    <row r="5" spans="1:17" ht="15" customHeight="1" x14ac:dyDescent="0.15">
      <c r="A5" s="45" t="s">
        <v>13</v>
      </c>
      <c r="B5" s="13" t="s">
        <v>14</v>
      </c>
      <c r="C5" s="35" t="s">
        <v>15</v>
      </c>
      <c r="D5" s="35">
        <v>204963.76</v>
      </c>
      <c r="E5" s="35">
        <v>113948.15</v>
      </c>
      <c r="F5" s="35">
        <v>67700.740000000005</v>
      </c>
      <c r="G5" s="3">
        <v>6440.87</v>
      </c>
      <c r="H5" s="46">
        <v>8674</v>
      </c>
      <c r="I5" s="47"/>
      <c r="J5" s="35"/>
      <c r="K5" s="4">
        <v>2256.69</v>
      </c>
      <c r="L5" s="35" t="s">
        <v>16</v>
      </c>
      <c r="M5" s="35">
        <v>7240</v>
      </c>
    </row>
    <row r="6" spans="1:17" ht="15" customHeight="1" x14ac:dyDescent="0.15">
      <c r="A6" s="45"/>
      <c r="B6" s="13" t="s">
        <v>33</v>
      </c>
      <c r="C6" s="35" t="s">
        <v>15</v>
      </c>
      <c r="D6" s="35">
        <v>61803.42</v>
      </c>
      <c r="E6" s="35">
        <v>34076.49</v>
      </c>
      <c r="F6" s="35">
        <v>20725.310000000001</v>
      </c>
      <c r="G6" s="3">
        <v>1919.55</v>
      </c>
      <c r="H6" s="46">
        <v>2694</v>
      </c>
      <c r="I6" s="47"/>
      <c r="J6" s="35"/>
      <c r="K6" s="4">
        <v>690.84</v>
      </c>
      <c r="L6" s="5" t="s">
        <v>17</v>
      </c>
      <c r="M6" s="6">
        <v>1600</v>
      </c>
    </row>
    <row r="7" spans="1:17" ht="15" customHeight="1" x14ac:dyDescent="0.15">
      <c r="A7" s="45"/>
      <c r="B7" s="13" t="s">
        <v>28</v>
      </c>
      <c r="C7" s="35" t="s">
        <v>15</v>
      </c>
      <c r="D7" s="35">
        <v>3728.52</v>
      </c>
      <c r="E7" s="34">
        <v>1798.34</v>
      </c>
      <c r="F7" s="34">
        <v>1321.32</v>
      </c>
      <c r="G7" s="7">
        <v>125.5</v>
      </c>
      <c r="H7" s="48">
        <v>162</v>
      </c>
      <c r="I7" s="49"/>
      <c r="J7" s="34"/>
      <c r="K7" s="4">
        <v>44.04</v>
      </c>
      <c r="L7" s="34" t="s">
        <v>18</v>
      </c>
      <c r="M7" s="34">
        <v>150</v>
      </c>
      <c r="N7" s="8"/>
    </row>
    <row r="8" spans="1:17" ht="15" customHeight="1" x14ac:dyDescent="0.15">
      <c r="A8" s="56" t="s">
        <v>29</v>
      </c>
      <c r="B8" s="57"/>
      <c r="C8" s="58"/>
      <c r="D8" s="9">
        <v>270495.7</v>
      </c>
      <c r="E8" s="9">
        <v>149822.98000000001</v>
      </c>
      <c r="F8" s="9">
        <v>89747.37</v>
      </c>
      <c r="G8" s="9">
        <v>8485.92</v>
      </c>
      <c r="H8" s="59">
        <v>11530</v>
      </c>
      <c r="I8" s="60"/>
      <c r="J8" s="41"/>
      <c r="K8" s="10">
        <v>2991.58</v>
      </c>
      <c r="L8" s="11" t="s">
        <v>19</v>
      </c>
      <c r="M8" s="11">
        <f>SUM(M5:M7)</f>
        <v>8990</v>
      </c>
      <c r="O8" s="12"/>
    </row>
    <row r="9" spans="1:17" ht="15" customHeight="1" x14ac:dyDescent="0.15">
      <c r="A9" s="61" t="s">
        <v>34</v>
      </c>
      <c r="B9" s="63" t="s">
        <v>35</v>
      </c>
      <c r="C9" s="35" t="s">
        <v>36</v>
      </c>
      <c r="D9" s="35">
        <v>32371.14</v>
      </c>
      <c r="E9" s="35">
        <v>20230.240000000002</v>
      </c>
      <c r="F9" s="35">
        <v>8470.92</v>
      </c>
      <c r="G9" s="3">
        <v>852.03</v>
      </c>
      <c r="H9" s="46">
        <v>1217</v>
      </c>
      <c r="I9" s="47"/>
      <c r="J9" s="35">
        <v>19.13</v>
      </c>
      <c r="K9" s="4">
        <v>282.36</v>
      </c>
      <c r="L9" s="35" t="s">
        <v>20</v>
      </c>
      <c r="M9" s="35">
        <v>960</v>
      </c>
      <c r="O9" s="12"/>
      <c r="P9" s="12"/>
    </row>
    <row r="10" spans="1:17" ht="15" customHeight="1" x14ac:dyDescent="0.15">
      <c r="A10" s="62"/>
      <c r="B10" s="63"/>
      <c r="C10" s="35" t="s">
        <v>37</v>
      </c>
      <c r="D10" s="35">
        <v>103594.53</v>
      </c>
      <c r="E10" s="35">
        <v>63226.01</v>
      </c>
      <c r="F10" s="35">
        <v>26778.76</v>
      </c>
      <c r="G10" s="3">
        <v>2494.0700000000002</v>
      </c>
      <c r="H10" s="46">
        <v>3753</v>
      </c>
      <c r="I10" s="47"/>
      <c r="J10" s="35">
        <v>229.59</v>
      </c>
      <c r="K10" s="4">
        <v>892.63</v>
      </c>
      <c r="L10" s="35" t="s">
        <v>21</v>
      </c>
      <c r="M10" s="35">
        <v>1200</v>
      </c>
      <c r="O10" s="12"/>
      <c r="P10" s="12"/>
      <c r="Q10" s="12"/>
    </row>
    <row r="11" spans="1:17" ht="15" customHeight="1" x14ac:dyDescent="0.15">
      <c r="A11" s="64" t="s">
        <v>38</v>
      </c>
      <c r="B11" s="65"/>
      <c r="C11" s="60"/>
      <c r="D11" s="9">
        <v>135965.67000000001</v>
      </c>
      <c r="E11" s="9">
        <v>83456.25</v>
      </c>
      <c r="F11" s="9">
        <v>35249.68</v>
      </c>
      <c r="G11" s="9">
        <v>3346.1</v>
      </c>
      <c r="H11" s="59">
        <v>4970</v>
      </c>
      <c r="I11" s="60"/>
      <c r="J11" s="9">
        <v>248.72</v>
      </c>
      <c r="K11" s="10">
        <v>1174.99</v>
      </c>
      <c r="L11" s="11" t="s">
        <v>22</v>
      </c>
      <c r="M11" s="11">
        <f>SUM(M9:M10)</f>
        <v>2160</v>
      </c>
    </row>
    <row r="12" spans="1:17" ht="15" customHeight="1" x14ac:dyDescent="0.15">
      <c r="A12" s="68" t="s">
        <v>39</v>
      </c>
      <c r="B12" s="69"/>
      <c r="C12" s="70"/>
      <c r="D12" s="14">
        <v>406461.37</v>
      </c>
      <c r="E12" s="14">
        <v>233279.23</v>
      </c>
      <c r="F12" s="14">
        <v>124997.05</v>
      </c>
      <c r="G12" s="14">
        <v>11832.02</v>
      </c>
      <c r="H12" s="71">
        <v>16500</v>
      </c>
      <c r="I12" s="70"/>
      <c r="J12" s="14">
        <v>248.72</v>
      </c>
      <c r="K12" s="15">
        <v>4166.57</v>
      </c>
      <c r="L12" s="42" t="s">
        <v>23</v>
      </c>
      <c r="M12" s="42">
        <f>M11+M8</f>
        <v>11150</v>
      </c>
    </row>
    <row r="13" spans="1:17" ht="18" customHeight="1" x14ac:dyDescent="0.15">
      <c r="A13" s="72" t="s">
        <v>40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4"/>
    </row>
    <row r="14" spans="1:17" ht="30.75" customHeight="1" x14ac:dyDescent="0.15">
      <c r="A14" s="35" t="s">
        <v>24</v>
      </c>
      <c r="B14" s="46" t="s">
        <v>25</v>
      </c>
      <c r="C14" s="47"/>
      <c r="D14" s="2" t="s">
        <v>41</v>
      </c>
      <c r="E14" s="2" t="s">
        <v>42</v>
      </c>
      <c r="F14" s="16" t="s">
        <v>43</v>
      </c>
      <c r="G14" s="2" t="s">
        <v>44</v>
      </c>
      <c r="H14" s="55" t="s">
        <v>45</v>
      </c>
      <c r="I14" s="47"/>
      <c r="J14" s="35" t="s">
        <v>46</v>
      </c>
      <c r="K14" s="2" t="s">
        <v>47</v>
      </c>
      <c r="L14" s="17" t="s">
        <v>48</v>
      </c>
      <c r="M14" s="2" t="s">
        <v>49</v>
      </c>
    </row>
    <row r="15" spans="1:17" ht="15" customHeight="1" x14ac:dyDescent="0.15">
      <c r="A15" s="61" t="s">
        <v>50</v>
      </c>
      <c r="B15" s="75" t="s">
        <v>51</v>
      </c>
      <c r="C15" s="63"/>
      <c r="D15" s="35">
        <v>230880</v>
      </c>
      <c r="E15" s="35">
        <v>131282.91</v>
      </c>
      <c r="F15" s="35">
        <v>603.02</v>
      </c>
      <c r="G15" s="3">
        <v>25916.240000000002</v>
      </c>
      <c r="H15" s="76">
        <v>863.87</v>
      </c>
      <c r="I15" s="77"/>
      <c r="J15" s="18">
        <v>0.11219999999999999</v>
      </c>
      <c r="K15" s="4">
        <v>0.56999999999999995</v>
      </c>
      <c r="L15" s="19">
        <v>0.64</v>
      </c>
      <c r="M15" s="18">
        <v>3.9300000000000002E-2</v>
      </c>
    </row>
    <row r="16" spans="1:17" ht="15" customHeight="1" x14ac:dyDescent="0.15">
      <c r="A16" s="62"/>
      <c r="B16" s="75" t="s">
        <v>52</v>
      </c>
      <c r="C16" s="63"/>
      <c r="D16" s="35">
        <v>70110</v>
      </c>
      <c r="E16" s="35">
        <v>39552.49</v>
      </c>
      <c r="F16" s="35">
        <v>-272.32</v>
      </c>
      <c r="G16" s="3">
        <v>8306.58</v>
      </c>
      <c r="H16" s="76">
        <v>276.89</v>
      </c>
      <c r="I16" s="77"/>
      <c r="J16" s="18">
        <v>0.11849999999999999</v>
      </c>
      <c r="K16" s="4">
        <v>0.56000000000000005</v>
      </c>
      <c r="L16" s="19">
        <v>0.64</v>
      </c>
      <c r="M16" s="18">
        <v>5.3600000000000002E-2</v>
      </c>
      <c r="O16" s="20"/>
    </row>
    <row r="17" spans="1:13" x14ac:dyDescent="0.15">
      <c r="A17" s="64" t="s">
        <v>53</v>
      </c>
      <c r="B17" s="65"/>
      <c r="C17" s="60"/>
      <c r="D17" s="9">
        <v>300990</v>
      </c>
      <c r="E17" s="9">
        <v>170835.4</v>
      </c>
      <c r="F17" s="9">
        <v>330.7</v>
      </c>
      <c r="G17" s="9">
        <v>34222.82</v>
      </c>
      <c r="H17" s="66">
        <v>1140.76</v>
      </c>
      <c r="I17" s="67"/>
      <c r="J17" s="21">
        <v>0.1137</v>
      </c>
      <c r="K17" s="10">
        <v>0.56999999999999995</v>
      </c>
      <c r="L17" s="22">
        <v>0.64</v>
      </c>
      <c r="M17" s="23">
        <v>4.1799999999999997E-2</v>
      </c>
    </row>
    <row r="18" spans="1:13" x14ac:dyDescent="0.15">
      <c r="A18" s="41" t="s">
        <v>34</v>
      </c>
      <c r="B18" s="78" t="s">
        <v>35</v>
      </c>
      <c r="C18" s="60"/>
      <c r="D18" s="41">
        <v>149850</v>
      </c>
      <c r="E18" s="41">
        <v>93221.75</v>
      </c>
      <c r="F18" s="41">
        <v>-647.17999999999995</v>
      </c>
      <c r="G18" s="9">
        <v>13884.33</v>
      </c>
      <c r="H18" s="66">
        <v>462.81</v>
      </c>
      <c r="I18" s="67"/>
      <c r="J18" s="21">
        <v>9.2700000000000005E-2</v>
      </c>
      <c r="K18" s="10">
        <v>0.62</v>
      </c>
      <c r="L18" s="22">
        <v>0.68</v>
      </c>
      <c r="M18" s="23">
        <v>8.7400000000000005E-2</v>
      </c>
    </row>
    <row r="19" spans="1:13" x14ac:dyDescent="0.15">
      <c r="A19" s="68" t="s">
        <v>39</v>
      </c>
      <c r="B19" s="69"/>
      <c r="C19" s="70"/>
      <c r="D19" s="14">
        <v>450840</v>
      </c>
      <c r="E19" s="14">
        <v>264057.15000000002</v>
      </c>
      <c r="F19" s="14">
        <v>-316.48</v>
      </c>
      <c r="G19" s="14">
        <v>48107.15</v>
      </c>
      <c r="H19" s="79">
        <v>1603.57</v>
      </c>
      <c r="I19" s="80"/>
      <c r="J19" s="24">
        <v>0.1067</v>
      </c>
      <c r="K19" s="15">
        <v>0.57999999999999996</v>
      </c>
      <c r="L19" s="25">
        <v>0.65</v>
      </c>
      <c r="M19" s="18">
        <v>5.0599999999999999E-2</v>
      </c>
    </row>
    <row r="20" spans="1:13" x14ac:dyDescent="0.15">
      <c r="A20" s="81" t="s">
        <v>54</v>
      </c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3"/>
    </row>
    <row r="21" spans="1:13" ht="27" customHeight="1" x14ac:dyDescent="0.15">
      <c r="A21" s="35" t="s">
        <v>24</v>
      </c>
      <c r="B21" s="46" t="s">
        <v>25</v>
      </c>
      <c r="C21" s="47"/>
      <c r="D21" s="2" t="s">
        <v>55</v>
      </c>
      <c r="E21" s="2" t="s">
        <v>56</v>
      </c>
      <c r="F21" s="2" t="s">
        <v>57</v>
      </c>
      <c r="G21" s="2" t="s">
        <v>58</v>
      </c>
      <c r="H21" s="55" t="s">
        <v>59</v>
      </c>
      <c r="I21" s="47"/>
      <c r="J21" s="2" t="s">
        <v>60</v>
      </c>
      <c r="K21" s="2" t="s">
        <v>61</v>
      </c>
      <c r="L21" s="17" t="s">
        <v>62</v>
      </c>
      <c r="M21" s="2" t="s">
        <v>63</v>
      </c>
    </row>
    <row r="22" spans="1:13" x14ac:dyDescent="0.15">
      <c r="A22" s="61" t="s">
        <v>50</v>
      </c>
      <c r="B22" s="84" t="s">
        <v>26</v>
      </c>
      <c r="C22" s="49"/>
      <c r="D22" s="26">
        <v>2.13</v>
      </c>
      <c r="E22" s="27">
        <v>8.8800000000000004E-2</v>
      </c>
      <c r="F22" s="26">
        <v>67.64</v>
      </c>
      <c r="G22" s="26">
        <v>22.34</v>
      </c>
      <c r="H22" s="85">
        <v>31.82</v>
      </c>
      <c r="I22" s="86"/>
      <c r="J22" s="26">
        <v>2.86</v>
      </c>
      <c r="K22" s="26">
        <v>23.63</v>
      </c>
      <c r="L22" s="28">
        <v>44.55</v>
      </c>
      <c r="M22" s="35">
        <v>0.89</v>
      </c>
    </row>
    <row r="23" spans="1:13" x14ac:dyDescent="0.15">
      <c r="A23" s="62"/>
      <c r="B23" s="84" t="s">
        <v>27</v>
      </c>
      <c r="C23" s="49"/>
      <c r="D23" s="26">
        <v>2.67</v>
      </c>
      <c r="E23" s="27">
        <v>0.1113</v>
      </c>
      <c r="F23" s="26">
        <v>89.57</v>
      </c>
      <c r="G23" s="26">
        <v>30.04</v>
      </c>
      <c r="H23" s="85">
        <v>32.200000000000003</v>
      </c>
      <c r="I23" s="86"/>
      <c r="J23" s="26">
        <v>3.9</v>
      </c>
      <c r="K23" s="26">
        <v>22.94</v>
      </c>
      <c r="L23" s="28">
        <v>42.75</v>
      </c>
      <c r="M23" s="35">
        <v>0.89</v>
      </c>
    </row>
    <row r="24" spans="1:13" x14ac:dyDescent="0.15">
      <c r="A24" s="64" t="s">
        <v>64</v>
      </c>
      <c r="B24" s="65"/>
      <c r="C24" s="60"/>
      <c r="D24" s="10">
        <v>2.21</v>
      </c>
      <c r="E24" s="21">
        <v>9.2100000000000001E-2</v>
      </c>
      <c r="F24" s="10">
        <v>71</v>
      </c>
      <c r="G24" s="10">
        <v>23.56</v>
      </c>
      <c r="H24" s="66">
        <v>31.88</v>
      </c>
      <c r="I24" s="67"/>
      <c r="J24" s="10">
        <v>3.03</v>
      </c>
      <c r="K24" s="10">
        <v>23.46</v>
      </c>
      <c r="L24" s="29">
        <v>44.16</v>
      </c>
      <c r="M24" s="11">
        <v>0.89</v>
      </c>
    </row>
    <row r="25" spans="1:13" x14ac:dyDescent="0.15">
      <c r="A25" s="41" t="s">
        <v>34</v>
      </c>
      <c r="B25" s="78" t="s">
        <v>35</v>
      </c>
      <c r="C25" s="60"/>
      <c r="D25" s="10">
        <v>3.1</v>
      </c>
      <c r="E25" s="21">
        <v>0.12920000000000001</v>
      </c>
      <c r="F25" s="10">
        <v>125.89</v>
      </c>
      <c r="G25" s="10">
        <v>32.64</v>
      </c>
      <c r="H25" s="66">
        <v>40.630000000000003</v>
      </c>
      <c r="I25" s="67"/>
      <c r="J25" s="10">
        <v>4.5999999999999996</v>
      </c>
      <c r="K25" s="10">
        <v>27.36</v>
      </c>
      <c r="L25" s="29">
        <v>40.4</v>
      </c>
      <c r="M25" s="11">
        <v>0.87</v>
      </c>
    </row>
    <row r="26" spans="1:13" x14ac:dyDescent="0.15">
      <c r="A26" s="68" t="s">
        <v>65</v>
      </c>
      <c r="B26" s="69"/>
      <c r="C26" s="70"/>
      <c r="D26" s="15">
        <v>2.4</v>
      </c>
      <c r="E26" s="24">
        <v>0.1</v>
      </c>
      <c r="F26" s="15">
        <v>83.12</v>
      </c>
      <c r="G26" s="15">
        <v>25.56</v>
      </c>
      <c r="H26" s="79">
        <v>34.35</v>
      </c>
      <c r="I26" s="80"/>
      <c r="J26" s="15">
        <v>3.37</v>
      </c>
      <c r="K26" s="15">
        <v>24.63</v>
      </c>
      <c r="L26" s="30">
        <v>43.03</v>
      </c>
      <c r="M26" s="42">
        <v>0.88</v>
      </c>
    </row>
    <row r="27" spans="1:13" x14ac:dyDescent="0.15">
      <c r="A27" s="81" t="s">
        <v>66</v>
      </c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3"/>
    </row>
    <row r="28" spans="1:13" ht="13.5" customHeight="1" x14ac:dyDescent="0.15">
      <c r="A28" s="87" t="s">
        <v>24</v>
      </c>
      <c r="B28" s="89" t="s">
        <v>25</v>
      </c>
      <c r="C28" s="90"/>
      <c r="D28" s="93" t="s">
        <v>67</v>
      </c>
      <c r="E28" s="95" t="s">
        <v>68</v>
      </c>
      <c r="F28" s="96"/>
      <c r="G28" s="96"/>
      <c r="H28" s="96"/>
      <c r="I28" s="96"/>
      <c r="J28" s="97"/>
      <c r="K28" s="95" t="s">
        <v>69</v>
      </c>
      <c r="L28" s="96"/>
      <c r="M28" s="97"/>
    </row>
    <row r="29" spans="1:13" ht="27" x14ac:dyDescent="0.15">
      <c r="A29" s="88"/>
      <c r="B29" s="91"/>
      <c r="C29" s="92"/>
      <c r="D29" s="94"/>
      <c r="E29" s="31" t="s">
        <v>70</v>
      </c>
      <c r="F29" s="31" t="s">
        <v>71</v>
      </c>
      <c r="G29" s="31" t="s">
        <v>72</v>
      </c>
      <c r="H29" s="32" t="s">
        <v>73</v>
      </c>
      <c r="I29" s="31" t="s">
        <v>74</v>
      </c>
      <c r="J29" s="33" t="s">
        <v>75</v>
      </c>
      <c r="K29" s="2" t="s">
        <v>76</v>
      </c>
      <c r="L29" s="19" t="s">
        <v>77</v>
      </c>
      <c r="M29" s="31" t="s">
        <v>78</v>
      </c>
    </row>
    <row r="30" spans="1:13" x14ac:dyDescent="0.15">
      <c r="A30" s="99" t="s">
        <v>50</v>
      </c>
      <c r="B30" s="100" t="s">
        <v>26</v>
      </c>
      <c r="C30" s="100"/>
      <c r="D30" s="3">
        <v>181648.89</v>
      </c>
      <c r="E30" s="3">
        <v>131885.93</v>
      </c>
      <c r="F30" s="7">
        <v>2698.91</v>
      </c>
      <c r="G30" s="7">
        <v>1086.08</v>
      </c>
      <c r="H30" s="34">
        <v>568.36</v>
      </c>
      <c r="I30" s="36"/>
      <c r="J30" s="7">
        <f>IFERROR((I30+H30+G30+F30+E30),"")</f>
        <v>136239.28</v>
      </c>
      <c r="K30" s="35">
        <v>0.25</v>
      </c>
      <c r="L30" s="37">
        <f>IFERROR((M30/D30),"")</f>
        <v>0.2499856178587164</v>
      </c>
      <c r="M30" s="38">
        <f>IFERROR((D30-J30),"")</f>
        <v>45409.610000000015</v>
      </c>
    </row>
    <row r="31" spans="1:13" x14ac:dyDescent="0.15">
      <c r="A31" s="99"/>
      <c r="B31" s="100" t="s">
        <v>27</v>
      </c>
      <c r="C31" s="100"/>
      <c r="D31" s="3">
        <v>54801.8</v>
      </c>
      <c r="E31" s="3">
        <v>39280.17</v>
      </c>
      <c r="F31" s="7">
        <v>827.13</v>
      </c>
      <c r="G31" s="7">
        <v>328.21</v>
      </c>
      <c r="H31" s="34">
        <v>325.2</v>
      </c>
      <c r="I31" s="36"/>
      <c r="J31" s="7">
        <f t="shared" ref="J31:J34" si="0">IFERROR((I31+H31+G31+F31+E31),"")</f>
        <v>40760.71</v>
      </c>
      <c r="K31" s="35">
        <v>0.25</v>
      </c>
      <c r="L31" s="37">
        <f t="shared" ref="L31:L35" si="1">IFERROR((M31/D31),"")</f>
        <v>0.25621585422376641</v>
      </c>
      <c r="M31" s="38">
        <f t="shared" ref="M31:M34" si="2">IFERROR((D31-J31),"")</f>
        <v>14041.090000000004</v>
      </c>
    </row>
    <row r="32" spans="1:13" x14ac:dyDescent="0.15">
      <c r="A32" s="99"/>
      <c r="B32" s="101" t="s">
        <v>79</v>
      </c>
      <c r="C32" s="100"/>
      <c r="D32" s="3">
        <v>3119.66</v>
      </c>
      <c r="E32" s="35">
        <v>1798.34</v>
      </c>
      <c r="F32" s="34">
        <v>52.51</v>
      </c>
      <c r="G32" s="7">
        <v>18.61</v>
      </c>
      <c r="H32" s="34">
        <v>192.87</v>
      </c>
      <c r="I32" s="36"/>
      <c r="J32" s="7">
        <f t="shared" si="0"/>
        <v>2062.33</v>
      </c>
      <c r="K32" s="35">
        <v>0.25</v>
      </c>
      <c r="L32" s="37">
        <f t="shared" si="1"/>
        <v>0.33892475462069582</v>
      </c>
      <c r="M32" s="38">
        <f t="shared" si="2"/>
        <v>1057.33</v>
      </c>
    </row>
    <row r="33" spans="1:13" x14ac:dyDescent="0.15">
      <c r="A33" s="64" t="s">
        <v>53</v>
      </c>
      <c r="B33" s="65"/>
      <c r="C33" s="60"/>
      <c r="D33" s="9">
        <v>239570.35</v>
      </c>
      <c r="E33" s="9">
        <v>172964.44</v>
      </c>
      <c r="F33" s="9">
        <v>3578.55</v>
      </c>
      <c r="G33" s="9">
        <v>1432.9</v>
      </c>
      <c r="H33" s="41">
        <v>1086.43</v>
      </c>
      <c r="I33" s="41"/>
      <c r="J33" s="9">
        <f>IFERROR((I33+H33+G33+F33+E33),"")</f>
        <v>179062.32</v>
      </c>
      <c r="K33" s="11">
        <v>0.25</v>
      </c>
      <c r="L33" s="39">
        <f t="shared" si="1"/>
        <v>0.25256894269261615</v>
      </c>
      <c r="M33" s="40">
        <f t="shared" si="2"/>
        <v>60508.03</v>
      </c>
    </row>
    <row r="34" spans="1:13" x14ac:dyDescent="0.15">
      <c r="A34" s="41" t="s">
        <v>34</v>
      </c>
      <c r="B34" s="102" t="s">
        <v>35</v>
      </c>
      <c r="C34" s="103"/>
      <c r="D34" s="9">
        <v>118954.65</v>
      </c>
      <c r="E34" s="9">
        <v>92574.57</v>
      </c>
      <c r="F34" s="41">
        <v>0</v>
      </c>
      <c r="G34" s="41">
        <v>712.24</v>
      </c>
      <c r="H34" s="41">
        <v>384.31</v>
      </c>
      <c r="I34" s="41"/>
      <c r="J34" s="9">
        <f t="shared" si="0"/>
        <v>93671.12000000001</v>
      </c>
      <c r="K34" s="11">
        <v>0.19</v>
      </c>
      <c r="L34" s="39">
        <f t="shared" si="1"/>
        <v>0.21254763895316398</v>
      </c>
      <c r="M34" s="40">
        <f t="shared" si="2"/>
        <v>25283.529999999984</v>
      </c>
    </row>
    <row r="35" spans="1:13" x14ac:dyDescent="0.15">
      <c r="A35" s="98" t="s">
        <v>39</v>
      </c>
      <c r="B35" s="98"/>
      <c r="C35" s="98"/>
      <c r="D35" s="14">
        <v>358525</v>
      </c>
      <c r="E35" s="14">
        <v>265539.01</v>
      </c>
      <c r="F35" s="14">
        <v>3578.55</v>
      </c>
      <c r="G35" s="14">
        <v>2145.14</v>
      </c>
      <c r="H35" s="42">
        <f>H34+H33</f>
        <v>1470.74</v>
      </c>
      <c r="I35" s="42"/>
      <c r="J35" s="14">
        <f>IFERROR((I35+H35+G35+F35+E35),"")</f>
        <v>272733.44</v>
      </c>
      <c r="K35" s="42">
        <v>0.23</v>
      </c>
      <c r="L35" s="43">
        <f t="shared" si="1"/>
        <v>0.23929031448295096</v>
      </c>
      <c r="M35" s="44">
        <f>IFERROR((D35-J35),"")</f>
        <v>85791.56</v>
      </c>
    </row>
  </sheetData>
  <mergeCells count="60">
    <mergeCell ref="A35:C35"/>
    <mergeCell ref="A30:A32"/>
    <mergeCell ref="B30:C30"/>
    <mergeCell ref="B31:C31"/>
    <mergeCell ref="B32:C32"/>
    <mergeCell ref="A33:C33"/>
    <mergeCell ref="B34:C34"/>
    <mergeCell ref="B25:C25"/>
    <mergeCell ref="H25:I25"/>
    <mergeCell ref="A26:C26"/>
    <mergeCell ref="H26:I26"/>
    <mergeCell ref="A27:M27"/>
    <mergeCell ref="A28:A29"/>
    <mergeCell ref="B28:C29"/>
    <mergeCell ref="D28:D29"/>
    <mergeCell ref="E28:J28"/>
    <mergeCell ref="K28:M28"/>
    <mergeCell ref="A24:C24"/>
    <mergeCell ref="H24:I24"/>
    <mergeCell ref="B18:C18"/>
    <mergeCell ref="H18:I18"/>
    <mergeCell ref="A19:C19"/>
    <mergeCell ref="H19:I19"/>
    <mergeCell ref="A20:M20"/>
    <mergeCell ref="B21:C21"/>
    <mergeCell ref="H21:I21"/>
    <mergeCell ref="A22:A23"/>
    <mergeCell ref="B22:C22"/>
    <mergeCell ref="H22:I22"/>
    <mergeCell ref="B23:C23"/>
    <mergeCell ref="H23:I23"/>
    <mergeCell ref="A17:C17"/>
    <mergeCell ref="H17:I17"/>
    <mergeCell ref="A11:C11"/>
    <mergeCell ref="H11:I11"/>
    <mergeCell ref="A12:C12"/>
    <mergeCell ref="H12:I12"/>
    <mergeCell ref="A13:M13"/>
    <mergeCell ref="B14:C14"/>
    <mergeCell ref="H14:I14"/>
    <mergeCell ref="A15:A16"/>
    <mergeCell ref="B15:C15"/>
    <mergeCell ref="H15:I15"/>
    <mergeCell ref="B16:C16"/>
    <mergeCell ref="H16:I16"/>
    <mergeCell ref="A8:C8"/>
    <mergeCell ref="H8:I8"/>
    <mergeCell ref="A9:A10"/>
    <mergeCell ref="B9:B10"/>
    <mergeCell ref="H9:I9"/>
    <mergeCell ref="H10:I10"/>
    <mergeCell ref="A5:A7"/>
    <mergeCell ref="H5:I5"/>
    <mergeCell ref="H6:I6"/>
    <mergeCell ref="H7:I7"/>
    <mergeCell ref="A1:M1"/>
    <mergeCell ref="A2:K2"/>
    <mergeCell ref="L2:M2"/>
    <mergeCell ref="A3:M3"/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2025-12-06T01:39:44Z</dcterms:modified>
</cp:coreProperties>
</file>