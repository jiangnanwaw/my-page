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27" i="1" l="1"/>
  <c r="D27" i="1"/>
  <c r="M27" i="1" s="1"/>
  <c r="J26" i="1"/>
  <c r="E26" i="1"/>
  <c r="D25" i="1"/>
  <c r="D24" i="1"/>
  <c r="M12" i="1"/>
  <c r="M11" i="1"/>
  <c r="M8" i="1"/>
  <c r="G8" i="1"/>
  <c r="H5" i="1"/>
  <c r="H8" i="1" s="1"/>
  <c r="G5" i="1"/>
  <c r="F5" i="1"/>
  <c r="F8" i="1" s="1"/>
  <c r="E5" i="1"/>
  <c r="D23" i="1" s="1"/>
  <c r="D26" i="1" s="1"/>
  <c r="D5" i="1"/>
  <c r="D8" i="1" s="1"/>
  <c r="D28" i="1" l="1"/>
  <c r="M26" i="1"/>
  <c r="M28" i="1" s="1"/>
  <c r="E8" i="1"/>
</calcChain>
</file>

<file path=xl/sharedStrings.xml><?xml version="1.0" encoding="utf-8"?>
<sst xmlns="http://schemas.openxmlformats.org/spreadsheetml/2006/main" count="79" uniqueCount="73">
  <si>
    <t>充电数据分析</t>
    <phoneticPr fontId="3" type="noConversion"/>
  </si>
  <si>
    <t xml:space="preserve">单位：长沙飞狐电动汽车充电服务有限公司                                                                                  </t>
    <phoneticPr fontId="3" type="noConversion"/>
  </si>
  <si>
    <t>结算周期:2026年01月01日至01月31日</t>
    <phoneticPr fontId="3" type="noConversion"/>
  </si>
  <si>
    <t>一、充电平台基础数据</t>
    <phoneticPr fontId="3" type="noConversion"/>
  </si>
  <si>
    <t>站点</t>
    <phoneticPr fontId="3" type="noConversion"/>
  </si>
  <si>
    <t>电力户号</t>
    <phoneticPr fontId="3" type="noConversion"/>
  </si>
  <si>
    <t>充电设备
品牌</t>
    <phoneticPr fontId="3" type="noConversion"/>
  </si>
  <si>
    <t>充电电量
(kwh)</t>
    <phoneticPr fontId="3" type="noConversion"/>
  </si>
  <si>
    <t>充电电费
(元)</t>
    <phoneticPr fontId="3" type="noConversion"/>
  </si>
  <si>
    <t>充电服务费
(元)</t>
    <phoneticPr fontId="3" type="noConversion"/>
  </si>
  <si>
    <t>充电时长
(小时)</t>
    <phoneticPr fontId="3" type="noConversion"/>
  </si>
  <si>
    <t>订单
数量</t>
    <phoneticPr fontId="3" type="noConversion"/>
  </si>
  <si>
    <t>超时占位费
(元)</t>
    <phoneticPr fontId="3" type="noConversion"/>
  </si>
  <si>
    <t>日均充电
服务费(元)</t>
    <phoneticPr fontId="3" type="noConversion"/>
  </si>
  <si>
    <t>充电枪总数量
(可用枪数/占用枪数)</t>
    <phoneticPr fontId="3" type="noConversion"/>
  </si>
  <si>
    <t>额定总功率
(kw)</t>
    <phoneticPr fontId="3" type="noConversion"/>
  </si>
  <si>
    <t>四方坪</t>
    <phoneticPr fontId="3" type="noConversion"/>
  </si>
  <si>
    <t>4303118481453</t>
    <phoneticPr fontId="3" type="noConversion"/>
  </si>
  <si>
    <t>特来电</t>
    <phoneticPr fontId="3" type="noConversion"/>
  </si>
  <si>
    <t>4303111439077</t>
    <phoneticPr fontId="3" type="noConversion"/>
  </si>
  <si>
    <t>特来电</t>
    <phoneticPr fontId="3" type="noConversion"/>
  </si>
  <si>
    <t>23/1</t>
    <phoneticPr fontId="3" type="noConversion"/>
  </si>
  <si>
    <t>4303103737893</t>
    <phoneticPr fontId="3" type="noConversion"/>
  </si>
  <si>
    <t>3/0</t>
  </si>
  <si>
    <t>四方坪站小计</t>
    <phoneticPr fontId="3" type="noConversion"/>
  </si>
  <si>
    <t>141/1</t>
    <phoneticPr fontId="3" type="noConversion"/>
  </si>
  <si>
    <t>高  岭</t>
    <phoneticPr fontId="3" type="noConversion"/>
  </si>
  <si>
    <t>4350001671599</t>
    <phoneticPr fontId="3" type="noConversion"/>
  </si>
  <si>
    <t>特来电</t>
    <phoneticPr fontId="3" type="noConversion"/>
  </si>
  <si>
    <t>12/0</t>
  </si>
  <si>
    <t>华  为</t>
    <phoneticPr fontId="3" type="noConversion"/>
  </si>
  <si>
    <t>24/0</t>
  </si>
  <si>
    <t>高岭站小计</t>
    <phoneticPr fontId="3" type="noConversion"/>
  </si>
  <si>
    <t>36/0</t>
  </si>
  <si>
    <t>总    计</t>
    <phoneticPr fontId="3" type="noConversion"/>
  </si>
  <si>
    <t>177/1</t>
    <phoneticPr fontId="3" type="noConversion"/>
  </si>
  <si>
    <t>二、电力局购电与损耗</t>
    <phoneticPr fontId="3" type="noConversion"/>
  </si>
  <si>
    <t>站点</t>
  </si>
  <si>
    <t>电力户号</t>
  </si>
  <si>
    <t>购电量
(kwh)</t>
    <phoneticPr fontId="3" type="noConversion"/>
  </si>
  <si>
    <t>购电成本
(元)</t>
    <phoneticPr fontId="3" type="noConversion"/>
  </si>
  <si>
    <t xml:space="preserve"> 功率因数
  调整电费(元)</t>
    <phoneticPr fontId="3" type="noConversion"/>
  </si>
  <si>
    <t>总电损
(kwh)</t>
    <phoneticPr fontId="3" type="noConversion"/>
  </si>
  <si>
    <t>日电损
(kwh)</t>
    <phoneticPr fontId="3" type="noConversion"/>
  </si>
  <si>
    <t>电损率</t>
    <phoneticPr fontId="3" type="noConversion"/>
  </si>
  <si>
    <t>购电平均
电价(元/kwh))</t>
    <phoneticPr fontId="3" type="noConversion"/>
  </si>
  <si>
    <t>每kwh总成本
(元)</t>
    <phoneticPr fontId="3" type="noConversion"/>
  </si>
  <si>
    <t>功率利用率</t>
    <phoneticPr fontId="3" type="noConversion"/>
  </si>
  <si>
    <t>四方坪</t>
  </si>
  <si>
    <t>4303118481453</t>
  </si>
  <si>
    <t>4303111439077</t>
  </si>
  <si>
    <t>四方坪站小计</t>
    <phoneticPr fontId="3" type="noConversion"/>
  </si>
  <si>
    <t>高岭</t>
    <phoneticPr fontId="3" type="noConversion"/>
  </si>
  <si>
    <t>4350001671599</t>
  </si>
  <si>
    <t>总计</t>
    <phoneticPr fontId="3" type="noConversion"/>
  </si>
  <si>
    <t>三、充电毛利核算</t>
    <phoneticPr fontId="3" type="noConversion"/>
  </si>
  <si>
    <t>充电总收入
(元)</t>
    <phoneticPr fontId="3" type="noConversion"/>
  </si>
  <si>
    <t>充电总成本(元)</t>
    <phoneticPr fontId="3" type="noConversion"/>
  </si>
  <si>
    <t>毛        利</t>
    <phoneticPr fontId="3" type="noConversion"/>
  </si>
  <si>
    <t>总电费</t>
    <phoneticPr fontId="3" type="noConversion"/>
  </si>
  <si>
    <t>平台服务费(元)</t>
    <phoneticPr fontId="3" type="noConversion"/>
  </si>
  <si>
    <t>活动优惠券</t>
    <phoneticPr fontId="3" type="noConversion"/>
  </si>
  <si>
    <t>转售折扣</t>
    <phoneticPr fontId="3" type="noConversion"/>
  </si>
  <si>
    <t>手续费</t>
    <phoneticPr fontId="3" type="noConversion"/>
  </si>
  <si>
    <t>小计</t>
    <phoneticPr fontId="3" type="noConversion"/>
  </si>
  <si>
    <t>每kwh
毛利(元)</t>
    <phoneticPr fontId="3" type="noConversion"/>
  </si>
  <si>
    <t>毛利率</t>
    <phoneticPr fontId="3" type="noConversion"/>
  </si>
  <si>
    <t>毛利润(元)</t>
    <phoneticPr fontId="3" type="noConversion"/>
  </si>
  <si>
    <t>四方坪</t>
    <phoneticPr fontId="3" type="noConversion"/>
  </si>
  <si>
    <t>4303103737893</t>
    <phoneticPr fontId="3" type="noConversion"/>
  </si>
  <si>
    <t>四方坪站小计</t>
    <phoneticPr fontId="3" type="noConversion"/>
  </si>
  <si>
    <t>高岭</t>
    <phoneticPr fontId="3" type="noConversion"/>
  </si>
  <si>
    <t>总计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</si>
</sst>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 "/>
    <numFmt numFmtId="177" formatCode="0.00_ "/>
    <numFmt numFmtId="178" formatCode="#,##0.00_ "/>
    <numFmt numFmtId="179" formatCode="#,##0.00000000000_ "/>
  </numFmts>
  <fonts count="6" x14ac:knownFonts="1">
    <font>
      <sz val="11"/>
      <color theme="1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" fontId="5" fillId="5" borderId="4" xfId="0" applyNumberFormat="1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center" vertical="center"/>
    </xf>
    <xf numFmtId="4" fontId="5" fillId="5" borderId="5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7" fontId="5" fillId="5" borderId="4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179" fontId="0" fillId="0" borderId="0" xfId="0" applyNumberFormat="1" applyAlignment="1">
      <alignment vertical="center"/>
    </xf>
    <xf numFmtId="177" fontId="5" fillId="5" borderId="5" xfId="0" applyNumberFormat="1" applyFont="1" applyFill="1" applyBorder="1" applyAlignment="1">
      <alignment horizontal="center" vertical="center"/>
    </xf>
    <xf numFmtId="177" fontId="5" fillId="5" borderId="6" xfId="0" applyNumberFormat="1" applyFont="1" applyFill="1" applyBorder="1" applyAlignment="1">
      <alignment horizontal="center" vertical="center"/>
    </xf>
    <xf numFmtId="10" fontId="5" fillId="5" borderId="4" xfId="0" applyNumberFormat="1" applyFont="1" applyFill="1" applyBorder="1" applyAlignment="1">
      <alignment horizontal="center" vertical="center"/>
    </xf>
    <xf numFmtId="4" fontId="0" fillId="5" borderId="5" xfId="0" applyNumberFormat="1" applyFill="1" applyBorder="1" applyAlignment="1">
      <alignment horizontal="center" vertical="center"/>
    </xf>
    <xf numFmtId="10" fontId="0" fillId="5" borderId="4" xfId="0" applyNumberFormat="1" applyFill="1" applyBorder="1" applyAlignment="1">
      <alignment horizontal="center" vertical="center"/>
    </xf>
    <xf numFmtId="0" fontId="5" fillId="5" borderId="5" xfId="0" quotePrefix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/>
    </xf>
    <xf numFmtId="178" fontId="5" fillId="0" borderId="4" xfId="0" applyNumberFormat="1" applyFon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4" fontId="0" fillId="5" borderId="4" xfId="0" applyNumberForma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8" fontId="5" fillId="5" borderId="4" xfId="0" applyNumberFormat="1" applyFont="1" applyFill="1" applyBorder="1" applyAlignment="1">
      <alignment horizontal="center" vertical="center"/>
    </xf>
    <xf numFmtId="0" fontId="5" fillId="5" borderId="4" xfId="0" quotePrefix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28"/>
  <sheetViews>
    <sheetView tabSelected="1" workbookViewId="0">
      <selection activeCell="O19" sqref="O19"/>
    </sheetView>
  </sheetViews>
  <sheetFormatPr defaultRowHeight="13.5" x14ac:dyDescent="0.15"/>
  <cols>
    <col min="1" max="1" width="9" style="2"/>
    <col min="2" max="2" width="14.125" style="2" customWidth="1"/>
    <col min="3" max="3" width="9.25" style="2" customWidth="1"/>
    <col min="4" max="4" width="16" style="2" customWidth="1"/>
    <col min="5" max="5" width="16.25" style="2" customWidth="1"/>
    <col min="6" max="6" width="14.875" style="2" customWidth="1"/>
    <col min="7" max="7" width="15.125" style="2" customWidth="1"/>
    <col min="8" max="8" width="9.625" style="2" customWidth="1"/>
    <col min="9" max="9" width="8.25" style="2" customWidth="1"/>
    <col min="10" max="10" width="15.25" style="2" customWidth="1"/>
    <col min="11" max="11" width="15.5" style="2" customWidth="1"/>
    <col min="12" max="12" width="19.375" style="2" customWidth="1"/>
    <col min="13" max="13" width="17.75" style="2" customWidth="1"/>
    <col min="14" max="14" width="11.125" style="2" customWidth="1"/>
    <col min="15" max="15" width="20.5" style="2" bestFit="1" customWidth="1"/>
    <col min="16" max="16" width="12.75" style="2" bestFit="1" customWidth="1"/>
    <col min="17" max="17" width="14.25" style="2" customWidth="1"/>
    <col min="18" max="16384" width="9" style="2"/>
  </cols>
  <sheetData>
    <row r="1" spans="1:17" ht="18.7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7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2</v>
      </c>
      <c r="M2" s="3"/>
    </row>
    <row r="3" spans="1:17" x14ac:dyDescent="0.15">
      <c r="A3" s="4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7" ht="27" x14ac:dyDescent="0.15">
      <c r="A4" s="7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9" t="s">
        <v>11</v>
      </c>
      <c r="I4" s="10"/>
      <c r="J4" s="8" t="s">
        <v>12</v>
      </c>
      <c r="K4" s="8" t="s">
        <v>13</v>
      </c>
      <c r="L4" s="8" t="s">
        <v>14</v>
      </c>
      <c r="M4" s="8" t="s">
        <v>15</v>
      </c>
    </row>
    <row r="5" spans="1:17" x14ac:dyDescent="0.15">
      <c r="A5" s="11" t="s">
        <v>16</v>
      </c>
      <c r="B5" s="12" t="s">
        <v>17</v>
      </c>
      <c r="C5" s="7" t="s">
        <v>18</v>
      </c>
      <c r="D5" s="7">
        <f>325423.47+887.66</f>
        <v>326311.12999999995</v>
      </c>
      <c r="E5" s="7">
        <f>152303.13+334.57</f>
        <v>152637.70000000001</v>
      </c>
      <c r="F5" s="7">
        <f>93504.39+317.61</f>
        <v>93822</v>
      </c>
      <c r="G5" s="13">
        <f>618940+1655</f>
        <v>620595</v>
      </c>
      <c r="H5" s="14">
        <f>13857+25</f>
        <v>13882</v>
      </c>
      <c r="I5" s="10"/>
      <c r="J5" s="7"/>
      <c r="K5" s="15">
        <v>3016.27</v>
      </c>
      <c r="L5" s="7">
        <v>115</v>
      </c>
      <c r="M5" s="7">
        <v>7240</v>
      </c>
    </row>
    <row r="6" spans="1:17" x14ac:dyDescent="0.15">
      <c r="A6" s="11"/>
      <c r="B6" s="12" t="s">
        <v>19</v>
      </c>
      <c r="C6" s="7" t="s">
        <v>20</v>
      </c>
      <c r="D6" s="7">
        <v>86251.8</v>
      </c>
      <c r="E6" s="7">
        <v>41401.06</v>
      </c>
      <c r="F6" s="7">
        <v>24918.97</v>
      </c>
      <c r="G6" s="13">
        <v>170012</v>
      </c>
      <c r="H6" s="14">
        <v>3577</v>
      </c>
      <c r="I6" s="10"/>
      <c r="J6" s="7"/>
      <c r="K6" s="15">
        <v>803.84</v>
      </c>
      <c r="L6" s="16" t="s">
        <v>21</v>
      </c>
      <c r="M6" s="17">
        <v>1600</v>
      </c>
    </row>
    <row r="7" spans="1:17" x14ac:dyDescent="0.15">
      <c r="A7" s="11"/>
      <c r="B7" s="12" t="s">
        <v>22</v>
      </c>
      <c r="C7" s="7" t="s">
        <v>20</v>
      </c>
      <c r="D7" s="7">
        <v>7134.56</v>
      </c>
      <c r="E7" s="18">
        <v>2812.45</v>
      </c>
      <c r="F7" s="18">
        <v>2151.09</v>
      </c>
      <c r="G7" s="19">
        <v>13885</v>
      </c>
      <c r="H7" s="20">
        <v>327</v>
      </c>
      <c r="I7" s="21"/>
      <c r="J7" s="18"/>
      <c r="K7" s="15">
        <v>69.39</v>
      </c>
      <c r="L7" s="18" t="s">
        <v>23</v>
      </c>
      <c r="M7" s="18">
        <v>150</v>
      </c>
      <c r="N7" s="22"/>
    </row>
    <row r="8" spans="1:17" x14ac:dyDescent="0.15">
      <c r="A8" s="23" t="s">
        <v>24</v>
      </c>
      <c r="B8" s="24"/>
      <c r="C8" s="25"/>
      <c r="D8" s="26">
        <f>D5+D6+D7</f>
        <v>419697.48999999993</v>
      </c>
      <c r="E8" s="26">
        <f>E5+E6+E7</f>
        <v>196851.21000000002</v>
      </c>
      <c r="F8" s="26">
        <f>F5+F6+F7</f>
        <v>120892.06</v>
      </c>
      <c r="G8" s="27">
        <f>G5+G6+G7</f>
        <v>804492</v>
      </c>
      <c r="H8" s="28">
        <f>H5+H6+H7</f>
        <v>17786</v>
      </c>
      <c r="I8" s="29"/>
      <c r="J8" s="30"/>
      <c r="K8" s="31">
        <v>3889.5</v>
      </c>
      <c r="L8" s="32" t="s">
        <v>25</v>
      </c>
      <c r="M8" s="32">
        <f>SUM(M5:M7)</f>
        <v>8990</v>
      </c>
      <c r="O8" s="33"/>
    </row>
    <row r="9" spans="1:17" x14ac:dyDescent="0.15">
      <c r="A9" s="34" t="s">
        <v>26</v>
      </c>
      <c r="B9" s="35" t="s">
        <v>27</v>
      </c>
      <c r="C9" s="7" t="s">
        <v>28</v>
      </c>
      <c r="D9" s="7">
        <v>46548.46</v>
      </c>
      <c r="E9" s="7">
        <v>25244.18</v>
      </c>
      <c r="F9" s="7">
        <v>13114.87</v>
      </c>
      <c r="G9" s="36">
        <v>1285.6500000000001</v>
      </c>
      <c r="H9" s="14">
        <v>1652</v>
      </c>
      <c r="I9" s="10"/>
      <c r="J9" s="7">
        <v>31.4</v>
      </c>
      <c r="K9" s="15">
        <v>423.06</v>
      </c>
      <c r="L9" s="7" t="s">
        <v>29</v>
      </c>
      <c r="M9" s="7">
        <v>960</v>
      </c>
      <c r="O9" s="33"/>
      <c r="P9" s="33"/>
    </row>
    <row r="10" spans="1:17" x14ac:dyDescent="0.15">
      <c r="A10" s="37"/>
      <c r="B10" s="35"/>
      <c r="C10" s="7" t="s">
        <v>30</v>
      </c>
      <c r="D10" s="7">
        <v>114389.82</v>
      </c>
      <c r="E10" s="7">
        <v>66264.5</v>
      </c>
      <c r="F10" s="7">
        <v>30427.63</v>
      </c>
      <c r="G10" s="36">
        <v>2961.15</v>
      </c>
      <c r="H10" s="14">
        <v>4038</v>
      </c>
      <c r="I10" s="10"/>
      <c r="J10" s="7">
        <v>236.43</v>
      </c>
      <c r="K10" s="15">
        <v>981.54</v>
      </c>
      <c r="L10" s="7" t="s">
        <v>31</v>
      </c>
      <c r="M10" s="7">
        <v>1200</v>
      </c>
      <c r="O10" s="33"/>
      <c r="P10" s="33"/>
      <c r="Q10" s="33"/>
    </row>
    <row r="11" spans="1:17" x14ac:dyDescent="0.15">
      <c r="A11" s="38" t="s">
        <v>32</v>
      </c>
      <c r="B11" s="39"/>
      <c r="C11" s="29"/>
      <c r="D11" s="26">
        <v>160938.28</v>
      </c>
      <c r="E11" s="26">
        <v>91508.68</v>
      </c>
      <c r="F11" s="26">
        <v>43542.5</v>
      </c>
      <c r="G11" s="26">
        <v>4246.8</v>
      </c>
      <c r="H11" s="40">
        <v>5690</v>
      </c>
      <c r="I11" s="41"/>
      <c r="J11" s="26">
        <v>267.83</v>
      </c>
      <c r="K11" s="31">
        <v>1404.6</v>
      </c>
      <c r="L11" s="32" t="s">
        <v>33</v>
      </c>
      <c r="M11" s="32">
        <f>SUM(M9:M10)</f>
        <v>2160</v>
      </c>
    </row>
    <row r="12" spans="1:17" x14ac:dyDescent="0.15">
      <c r="A12" s="42" t="s">
        <v>34</v>
      </c>
      <c r="B12" s="43"/>
      <c r="C12" s="44"/>
      <c r="D12" s="45">
        <v>579748.11</v>
      </c>
      <c r="E12" s="45">
        <v>288025.32</v>
      </c>
      <c r="F12" s="45">
        <v>164116.95000000001</v>
      </c>
      <c r="G12" s="45">
        <v>807083.8</v>
      </c>
      <c r="H12" s="46">
        <v>23451</v>
      </c>
      <c r="I12" s="47"/>
      <c r="J12" s="45">
        <v>267.83</v>
      </c>
      <c r="K12" s="48">
        <v>5294.1</v>
      </c>
      <c r="L12" s="49" t="s">
        <v>35</v>
      </c>
      <c r="M12" s="49">
        <f>M11+M8</f>
        <v>11150</v>
      </c>
    </row>
    <row r="13" spans="1:17" x14ac:dyDescent="0.15">
      <c r="A13" s="50" t="s">
        <v>36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2"/>
    </row>
    <row r="14" spans="1:17" ht="27" x14ac:dyDescent="0.15">
      <c r="A14" s="7" t="s">
        <v>37</v>
      </c>
      <c r="B14" s="14" t="s">
        <v>38</v>
      </c>
      <c r="C14" s="10"/>
      <c r="D14" s="8" t="s">
        <v>39</v>
      </c>
      <c r="E14" s="8" t="s">
        <v>40</v>
      </c>
      <c r="F14" s="53" t="s">
        <v>41</v>
      </c>
      <c r="G14" s="8" t="s">
        <v>42</v>
      </c>
      <c r="H14" s="9" t="s">
        <v>43</v>
      </c>
      <c r="I14" s="10"/>
      <c r="J14" s="7" t="s">
        <v>44</v>
      </c>
      <c r="K14" s="8" t="s">
        <v>45</v>
      </c>
      <c r="L14" s="54" t="s">
        <v>46</v>
      </c>
      <c r="M14" s="8" t="s">
        <v>47</v>
      </c>
    </row>
    <row r="15" spans="1:17" x14ac:dyDescent="0.15">
      <c r="A15" s="34" t="s">
        <v>48</v>
      </c>
      <c r="B15" s="55" t="s">
        <v>49</v>
      </c>
      <c r="C15" s="35"/>
      <c r="D15" s="7">
        <v>355320</v>
      </c>
      <c r="E15" s="7">
        <v>170936.43</v>
      </c>
      <c r="F15" s="7">
        <v>-695.26</v>
      </c>
      <c r="G15" s="36">
        <v>29896.53</v>
      </c>
      <c r="H15" s="56">
        <v>964.4</v>
      </c>
      <c r="I15" s="57"/>
      <c r="J15" s="58">
        <v>8.4099999999999994E-2</v>
      </c>
      <c r="K15" s="15">
        <v>0.48</v>
      </c>
      <c r="L15" s="59">
        <v>0.52</v>
      </c>
      <c r="M15" s="58">
        <v>6.0400000000000002E-2</v>
      </c>
    </row>
    <row r="16" spans="1:17" x14ac:dyDescent="0.15">
      <c r="A16" s="37"/>
      <c r="B16" s="55" t="s">
        <v>50</v>
      </c>
      <c r="C16" s="35"/>
      <c r="D16" s="7">
        <v>103560</v>
      </c>
      <c r="E16" s="7">
        <v>48535.409999999996</v>
      </c>
      <c r="F16" s="7">
        <v>-328.09</v>
      </c>
      <c r="G16" s="36">
        <v>17308.2</v>
      </c>
      <c r="H16" s="56">
        <v>558.33000000000004</v>
      </c>
      <c r="I16" s="57"/>
      <c r="J16" s="58">
        <v>0.1671</v>
      </c>
      <c r="K16" s="15">
        <v>0.47</v>
      </c>
      <c r="L16" s="59">
        <v>0.56000000000000005</v>
      </c>
      <c r="M16" s="58">
        <v>7.2499999999999995E-2</v>
      </c>
      <c r="O16" s="60"/>
    </row>
    <row r="17" spans="1:13" x14ac:dyDescent="0.15">
      <c r="A17" s="38" t="s">
        <v>51</v>
      </c>
      <c r="B17" s="39"/>
      <c r="C17" s="29"/>
      <c r="D17" s="26">
        <v>458880</v>
      </c>
      <c r="E17" s="26">
        <v>219471.84</v>
      </c>
      <c r="F17" s="26">
        <v>-1023.35</v>
      </c>
      <c r="G17" s="26">
        <v>47204.73</v>
      </c>
      <c r="H17" s="61">
        <v>1522.73</v>
      </c>
      <c r="I17" s="62"/>
      <c r="J17" s="63">
        <v>0.10290000000000001</v>
      </c>
      <c r="K17" s="31">
        <v>0.48</v>
      </c>
      <c r="L17" s="64">
        <v>0.53</v>
      </c>
      <c r="M17" s="65">
        <v>6.2600000000000003E-2</v>
      </c>
    </row>
    <row r="18" spans="1:13" x14ac:dyDescent="0.15">
      <c r="A18" s="30" t="s">
        <v>52</v>
      </c>
      <c r="B18" s="66" t="s">
        <v>53</v>
      </c>
      <c r="C18" s="29"/>
      <c r="D18" s="30">
        <v>176040</v>
      </c>
      <c r="E18" s="30">
        <v>98454.069999999992</v>
      </c>
      <c r="F18" s="30">
        <v>-677.34</v>
      </c>
      <c r="G18" s="26">
        <v>15101.72</v>
      </c>
      <c r="H18" s="61">
        <v>487.15</v>
      </c>
      <c r="I18" s="62"/>
      <c r="J18" s="63">
        <v>8.5800000000000001E-2</v>
      </c>
      <c r="K18" s="31">
        <v>0.56000000000000005</v>
      </c>
      <c r="L18" s="67">
        <v>0.61</v>
      </c>
      <c r="M18" s="65">
        <v>0.10009999999999999</v>
      </c>
    </row>
    <row r="19" spans="1:13" x14ac:dyDescent="0.15">
      <c r="A19" s="42" t="s">
        <v>54</v>
      </c>
      <c r="B19" s="43"/>
      <c r="C19" s="44"/>
      <c r="D19" s="45">
        <v>634920</v>
      </c>
      <c r="E19" s="45">
        <v>317925.90999999997</v>
      </c>
      <c r="F19" s="45">
        <v>-1700.69</v>
      </c>
      <c r="G19" s="45">
        <v>62306.45</v>
      </c>
      <c r="H19" s="68">
        <v>2009.89</v>
      </c>
      <c r="I19" s="69"/>
      <c r="J19" s="70">
        <v>9.8100000000000007E-2</v>
      </c>
      <c r="K19" s="48">
        <v>0.5</v>
      </c>
      <c r="L19" s="71">
        <v>0.55000000000000004</v>
      </c>
      <c r="M19" s="58">
        <v>6.9900000000000004E-2</v>
      </c>
    </row>
    <row r="20" spans="1:13" x14ac:dyDescent="0.15">
      <c r="A20" s="72" t="s">
        <v>55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4"/>
    </row>
    <row r="21" spans="1:13" x14ac:dyDescent="0.15">
      <c r="A21" s="75" t="s">
        <v>37</v>
      </c>
      <c r="B21" s="76" t="s">
        <v>38</v>
      </c>
      <c r="C21" s="77"/>
      <c r="D21" s="78" t="s">
        <v>56</v>
      </c>
      <c r="E21" s="79" t="s">
        <v>57</v>
      </c>
      <c r="F21" s="80"/>
      <c r="G21" s="80"/>
      <c r="H21" s="80"/>
      <c r="I21" s="80"/>
      <c r="J21" s="81"/>
      <c r="K21" s="79" t="s">
        <v>58</v>
      </c>
      <c r="L21" s="80"/>
      <c r="M21" s="81"/>
    </row>
    <row r="22" spans="1:13" ht="27" x14ac:dyDescent="0.15">
      <c r="A22" s="82"/>
      <c r="B22" s="83"/>
      <c r="C22" s="84"/>
      <c r="D22" s="85"/>
      <c r="E22" s="86" t="s">
        <v>59</v>
      </c>
      <c r="F22" s="86" t="s">
        <v>60</v>
      </c>
      <c r="G22" s="86" t="s">
        <v>61</v>
      </c>
      <c r="H22" s="87" t="s">
        <v>62</v>
      </c>
      <c r="I22" s="86" t="s">
        <v>63</v>
      </c>
      <c r="J22" s="88" t="s">
        <v>64</v>
      </c>
      <c r="K22" s="8" t="s">
        <v>65</v>
      </c>
      <c r="L22" s="89" t="s">
        <v>66</v>
      </c>
      <c r="M22" s="86" t="s">
        <v>67</v>
      </c>
    </row>
    <row r="23" spans="1:13" x14ac:dyDescent="0.15">
      <c r="A23" s="90" t="s">
        <v>68</v>
      </c>
      <c r="B23" s="91" t="s">
        <v>49</v>
      </c>
      <c r="C23" s="91"/>
      <c r="D23" s="36">
        <f>E5+F5</f>
        <v>246459.7</v>
      </c>
      <c r="E23" s="36">
        <v>170241.17</v>
      </c>
      <c r="F23" s="92"/>
      <c r="G23" s="92"/>
      <c r="H23" s="18"/>
      <c r="I23" s="93"/>
      <c r="J23" s="92"/>
      <c r="K23" s="36">
        <v>0.24</v>
      </c>
      <c r="L23" s="94"/>
      <c r="M23" s="95"/>
    </row>
    <row r="24" spans="1:13" x14ac:dyDescent="0.15">
      <c r="A24" s="90"/>
      <c r="B24" s="91" t="s">
        <v>50</v>
      </c>
      <c r="C24" s="91"/>
      <c r="D24" s="36">
        <f>E6+F6</f>
        <v>66320.03</v>
      </c>
      <c r="E24" s="36">
        <v>48207.32</v>
      </c>
      <c r="F24" s="92"/>
      <c r="G24" s="92"/>
      <c r="H24" s="18"/>
      <c r="I24" s="93"/>
      <c r="J24" s="92"/>
      <c r="K24" s="36">
        <v>0.21</v>
      </c>
      <c r="L24" s="94"/>
      <c r="M24" s="95"/>
    </row>
    <row r="25" spans="1:13" x14ac:dyDescent="0.15">
      <c r="A25" s="90"/>
      <c r="B25" s="96" t="s">
        <v>69</v>
      </c>
      <c r="C25" s="91"/>
      <c r="D25" s="36">
        <f>E7+F7</f>
        <v>4963.54</v>
      </c>
      <c r="E25" s="7"/>
      <c r="F25" s="18"/>
      <c r="G25" s="92"/>
      <c r="H25" s="18"/>
      <c r="I25" s="93"/>
      <c r="J25" s="92"/>
      <c r="K25" s="7">
        <v>0.21</v>
      </c>
      <c r="L25" s="94"/>
      <c r="M25" s="95"/>
    </row>
    <row r="26" spans="1:13" x14ac:dyDescent="0.15">
      <c r="A26" s="38" t="s">
        <v>70</v>
      </c>
      <c r="B26" s="39"/>
      <c r="C26" s="29"/>
      <c r="D26" s="26">
        <f>D23+D24+D25</f>
        <v>317743.26999999996</v>
      </c>
      <c r="E26" s="26">
        <f>E23+E24</f>
        <v>218448.49000000002</v>
      </c>
      <c r="F26" s="26">
        <v>17459.93</v>
      </c>
      <c r="G26" s="26">
        <v>7701.2</v>
      </c>
      <c r="H26" s="30">
        <v>621.14</v>
      </c>
      <c r="J26" s="26">
        <f>F26+G26+H26</f>
        <v>25782.27</v>
      </c>
      <c r="K26" s="97">
        <v>0.23</v>
      </c>
      <c r="L26" s="98"/>
      <c r="M26" s="99">
        <f>D26-E26-J26</f>
        <v>73512.509999999937</v>
      </c>
    </row>
    <row r="27" spans="1:13" x14ac:dyDescent="0.15">
      <c r="A27" s="30" t="s">
        <v>71</v>
      </c>
      <c r="B27" s="100" t="s">
        <v>53</v>
      </c>
      <c r="C27" s="101"/>
      <c r="D27" s="26">
        <f>E11+F11+J12</f>
        <v>135319.00999999998</v>
      </c>
      <c r="E27" s="26">
        <v>97776.73</v>
      </c>
      <c r="G27" s="30">
        <v>610.28</v>
      </c>
      <c r="I27" s="30">
        <v>810.31</v>
      </c>
      <c r="J27" s="26">
        <f>G27+I27</f>
        <v>1420.59</v>
      </c>
      <c r="K27" s="32">
        <v>0.23</v>
      </c>
      <c r="L27" s="98"/>
      <c r="M27" s="99">
        <f>D27-E27-J27</f>
        <v>36121.689999999988</v>
      </c>
    </row>
    <row r="28" spans="1:13" x14ac:dyDescent="0.15">
      <c r="A28" s="102" t="s">
        <v>72</v>
      </c>
      <c r="B28" s="102"/>
      <c r="C28" s="102"/>
      <c r="D28" s="45">
        <f>D26+D27</f>
        <v>453062.27999999991</v>
      </c>
      <c r="E28" s="45">
        <v>319037.67</v>
      </c>
      <c r="F28" s="45"/>
      <c r="G28" s="45"/>
      <c r="H28" s="49"/>
      <c r="I28" s="49"/>
      <c r="J28" s="45"/>
      <c r="K28" s="45">
        <v>0.23</v>
      </c>
      <c r="L28" s="103"/>
      <c r="M28" s="104">
        <f>M26+M27</f>
        <v>109634.19999999992</v>
      </c>
    </row>
  </sheetData>
  <mergeCells count="46">
    <mergeCell ref="A28:C28"/>
    <mergeCell ref="A23:A25"/>
    <mergeCell ref="B23:C23"/>
    <mergeCell ref="B24:C24"/>
    <mergeCell ref="B25:C25"/>
    <mergeCell ref="A26:C26"/>
    <mergeCell ref="B27:C27"/>
    <mergeCell ref="B18:C18"/>
    <mergeCell ref="H18:I18"/>
    <mergeCell ref="A19:C19"/>
    <mergeCell ref="H19:I19"/>
    <mergeCell ref="A20:M20"/>
    <mergeCell ref="A21:A22"/>
    <mergeCell ref="B21:C22"/>
    <mergeCell ref="D21:D22"/>
    <mergeCell ref="E21:J21"/>
    <mergeCell ref="K21:M21"/>
    <mergeCell ref="A15:A16"/>
    <mergeCell ref="B15:C15"/>
    <mergeCell ref="H15:I15"/>
    <mergeCell ref="B16:C16"/>
    <mergeCell ref="H16:I16"/>
    <mergeCell ref="A17:C17"/>
    <mergeCell ref="H17:I17"/>
    <mergeCell ref="A11:C11"/>
    <mergeCell ref="H11:I11"/>
    <mergeCell ref="A12:C12"/>
    <mergeCell ref="H12:I12"/>
    <mergeCell ref="A13:M13"/>
    <mergeCell ref="B14:C14"/>
    <mergeCell ref="H14:I14"/>
    <mergeCell ref="A8:C8"/>
    <mergeCell ref="H8:I8"/>
    <mergeCell ref="A9:A10"/>
    <mergeCell ref="B9:B10"/>
    <mergeCell ref="H9:I9"/>
    <mergeCell ref="H10:I10"/>
    <mergeCell ref="A1:M1"/>
    <mergeCell ref="A2:K2"/>
    <mergeCell ref="L2:M2"/>
    <mergeCell ref="A3:M3"/>
    <mergeCell ref="H4:I4"/>
    <mergeCell ref="A5:A7"/>
    <mergeCell ref="H5:I5"/>
    <mergeCell ref="H6:I6"/>
    <mergeCell ref="H7:I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2026-02-04T08:57:13Z</dcterms:modified>
</cp:coreProperties>
</file>