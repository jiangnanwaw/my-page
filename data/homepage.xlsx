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E12" i="5" l="1"/>
  <c r="E13" i="5"/>
  <c r="E14" i="5"/>
  <c r="E11" i="5"/>
  <c r="B11" i="5"/>
  <c r="B12" i="5"/>
  <c r="B13" i="5"/>
  <c r="B14" i="5"/>
  <c r="B15" i="5"/>
  <c r="D21" i="9" l="1"/>
  <c r="F21" i="9"/>
  <c r="E21" i="9"/>
  <c r="B21" i="9"/>
  <c r="F12" i="5" l="1"/>
  <c r="F13" i="5"/>
  <c r="F14" i="5"/>
  <c r="F11" i="5"/>
  <c r="B9" i="6" l="1"/>
  <c r="B8" i="6"/>
  <c r="C9" i="6"/>
  <c r="C26" i="8"/>
  <c r="C24" i="8"/>
  <c r="C22" i="8"/>
  <c r="C21" i="8"/>
  <c r="C20" i="8"/>
  <c r="C19" i="8"/>
  <c r="C18" i="8"/>
  <c r="B9" i="7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<sst xmlns="http://schemas.openxmlformats.org/spreadsheetml/2006/main" count="252" uniqueCount="193">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</sst>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5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D16"/>
  <sheetViews>
    <sheetView workbookViewId="0">
      <selection activeCell="C8" sqref="C8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</cols>
  <sheetData>
    <row r="1" spans="1:4" x14ac:dyDescent="0.15">
      <c r="A1" t="s">
        <v>24</v>
      </c>
      <c r="B1" t="s">
        <v>22</v>
      </c>
      <c r="C1" t="s">
        <v>23</v>
      </c>
    </row>
    <row r="2" spans="1:4" x14ac:dyDescent="0.15">
      <c r="A2" t="s">
        <v>25</v>
      </c>
      <c r="B2" s="1">
        <v>38765.229999999996</v>
      </c>
      <c r="C2" t="s">
        <v>1</v>
      </c>
    </row>
    <row r="3" spans="1:4" x14ac:dyDescent="0.15">
      <c r="A3" t="s">
        <v>26</v>
      </c>
      <c r="B3" s="1">
        <v>33901.119999999995</v>
      </c>
      <c r="C3" t="s">
        <v>3</v>
      </c>
    </row>
    <row r="4" spans="1:4" x14ac:dyDescent="0.15">
      <c r="A4" t="s">
        <v>27</v>
      </c>
      <c r="B4" s="1">
        <v>11945.57</v>
      </c>
      <c r="C4" t="s">
        <v>3</v>
      </c>
    </row>
    <row r="5" spans="1:4" x14ac:dyDescent="0.15">
      <c r="A5" t="s">
        <v>28</v>
      </c>
      <c r="B5" s="2">
        <v>1608</v>
      </c>
      <c r="C5" t="s">
        <v>5</v>
      </c>
    </row>
    <row r="6" spans="1:4" x14ac:dyDescent="0.15">
      <c r="A6" t="s">
        <v>29</v>
      </c>
      <c r="B6" s="1">
        <v>4835010.9799999995</v>
      </c>
      <c r="C6" t="s">
        <v>0</v>
      </c>
    </row>
    <row r="7" spans="1:4" x14ac:dyDescent="0.15">
      <c r="A7" t="s">
        <v>30</v>
      </c>
      <c r="B7" s="1">
        <v>4075977.8000000007</v>
      </c>
      <c r="C7" t="s">
        <v>2</v>
      </c>
    </row>
    <row r="8" spans="1:4" x14ac:dyDescent="0.15">
      <c r="A8" t="s">
        <v>31</v>
      </c>
      <c r="B8" s="1">
        <v>1418905.4</v>
      </c>
      <c r="C8" t="s">
        <v>2</v>
      </c>
    </row>
    <row r="9" spans="1:4" x14ac:dyDescent="0.15">
      <c r="A9" t="s">
        <v>32</v>
      </c>
      <c r="B9" s="2">
        <v>187815</v>
      </c>
      <c r="C9" t="s">
        <v>4</v>
      </c>
    </row>
    <row r="10" spans="1:4" x14ac:dyDescent="0.15">
      <c r="A10" t="s">
        <v>33</v>
      </c>
      <c r="B10" s="1">
        <v>33300391.970000003</v>
      </c>
      <c r="C10" t="s">
        <v>0</v>
      </c>
    </row>
    <row r="11" spans="1:4" x14ac:dyDescent="0.15">
      <c r="A11" t="s">
        <v>34</v>
      </c>
      <c r="B11" s="1">
        <v>31351252.959999997</v>
      </c>
      <c r="C11" t="s">
        <v>2</v>
      </c>
      <c r="D11" s="1"/>
    </row>
    <row r="12" spans="1:4" x14ac:dyDescent="0.15">
      <c r="A12" t="s">
        <v>35</v>
      </c>
      <c r="B12" s="1">
        <v>11700627.440000001</v>
      </c>
      <c r="C12" t="s">
        <v>2</v>
      </c>
    </row>
    <row r="13" spans="1:4" x14ac:dyDescent="0.15">
      <c r="A13" t="s">
        <v>36</v>
      </c>
      <c r="B13" s="2">
        <v>1285445</v>
      </c>
      <c r="C13" t="s">
        <v>4</v>
      </c>
    </row>
    <row r="14" spans="1:4" x14ac:dyDescent="0.15">
      <c r="A14" t="s">
        <v>37</v>
      </c>
      <c r="B14" s="1">
        <v>39799.629999999997</v>
      </c>
      <c r="C14" t="s">
        <v>3</v>
      </c>
    </row>
    <row r="15" spans="1:4" x14ac:dyDescent="0.15">
      <c r="A15" t="s">
        <v>38</v>
      </c>
      <c r="B15" s="1">
        <v>509311.67</v>
      </c>
      <c r="C15" t="s">
        <v>3</v>
      </c>
      <c r="D15" s="1"/>
    </row>
    <row r="16" spans="1:4" x14ac:dyDescent="0.15">
      <c r="A16" t="s">
        <v>39</v>
      </c>
      <c r="B16" s="1">
        <v>3207325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G14" sqref="G14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461424.8</v>
      </c>
      <c r="C7">
        <v>136456.45000000001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65" workbookViewId="0">
      <selection activeCell="I90" sqref="I90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324029.82+43.71</f>
        <v>324073.53000000003</v>
      </c>
      <c r="C21" s="8">
        <v>197844.56</v>
      </c>
      <c r="D21" s="8">
        <f>135800.85+8.61</f>
        <v>135809.46</v>
      </c>
      <c r="E21" s="8">
        <f>C21+D21+44.37</f>
        <v>333698.39</v>
      </c>
      <c r="F21" s="8">
        <f>12238+2</f>
        <v>12240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v>538319.98599999794</v>
      </c>
      <c r="C33" s="8">
        <v>325643.48</v>
      </c>
      <c r="D33" s="8">
        <v>188861.26</v>
      </c>
      <c r="E33" s="8">
        <f t="shared" si="0"/>
        <v>514504.74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461424.79900000006</v>
      </c>
      <c r="C86" s="8">
        <v>255175.67999999999</v>
      </c>
      <c r="D86" s="8">
        <v>136456.45000000001</v>
      </c>
      <c r="E86" s="8">
        <f t="shared" si="1"/>
        <v>391632.13</v>
      </c>
      <c r="F86" s="8">
        <v>18171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  <ignoredErrors>
    <ignoredError sqref="E21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7"/>
  <sheetViews>
    <sheetView workbookViewId="0">
      <pane ySplit="1" topLeftCell="A83" activePane="bottomLeft" state="frozen"/>
      <selection pane="bottomLeft" activeCell="D90" sqref="D90"/>
    </sheetView>
  </sheetViews>
  <sheetFormatPr defaultRowHeight="13.5" x14ac:dyDescent="0.15"/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/>
      <c r="H87" s="10"/>
      <c r="I87" s="10">
        <v>10720</v>
      </c>
      <c r="J87" s="10"/>
      <c r="K87" s="10">
        <v>10660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2" sqref="E12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G9" sqref="G9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45964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38765.229999999996</v>
      </c>
      <c r="C11" t="s">
        <v>0</v>
      </c>
      <c r="E11" s="5">
        <f>B11</f>
        <v>38765.229999999996</v>
      </c>
      <c r="F11" s="5">
        <f>E11+B3</f>
        <v>38765.229999999996</v>
      </c>
      <c r="I11" s="5"/>
      <c r="N11" s="12"/>
      <c r="O11" s="5"/>
    </row>
    <row r="12" spans="1:15" x14ac:dyDescent="0.15">
      <c r="A12" t="s">
        <v>49</v>
      </c>
      <c r="B12" s="4">
        <f>Metrics!B3</f>
        <v>33901.119999999995</v>
      </c>
      <c r="C12" t="s">
        <v>2</v>
      </c>
      <c r="E12" s="5">
        <f t="shared" ref="E12:E14" si="0">B12</f>
        <v>33901.119999999995</v>
      </c>
      <c r="F12" s="5">
        <f t="shared" ref="F12:F14" si="1">E12+B4</f>
        <v>33901.119999999995</v>
      </c>
      <c r="H12" s="11"/>
      <c r="I12" s="5"/>
    </row>
    <row r="13" spans="1:15" x14ac:dyDescent="0.15">
      <c r="A13" t="s">
        <v>48</v>
      </c>
      <c r="B13" s="4">
        <f>Metrics!B4</f>
        <v>11945.57</v>
      </c>
      <c r="C13" t="s">
        <v>2</v>
      </c>
      <c r="E13" s="5">
        <f t="shared" si="0"/>
        <v>11945.57</v>
      </c>
      <c r="F13" s="5">
        <f t="shared" si="1"/>
        <v>11945.57</v>
      </c>
      <c r="I13" s="5"/>
      <c r="L13" s="4"/>
    </row>
    <row r="14" spans="1:15" x14ac:dyDescent="0.15">
      <c r="A14" t="s">
        <v>50</v>
      </c>
      <c r="B14" s="4">
        <f>Metrics!B5</f>
        <v>1608</v>
      </c>
      <c r="C14" t="s">
        <v>4</v>
      </c>
      <c r="E14" s="5">
        <f t="shared" si="0"/>
        <v>1608</v>
      </c>
      <c r="F14" s="5">
        <f t="shared" si="1"/>
        <v>1608</v>
      </c>
      <c r="I14" s="5"/>
      <c r="L14" s="4"/>
    </row>
    <row r="15" spans="1:15" x14ac:dyDescent="0.15">
      <c r="A15" t="s">
        <v>51</v>
      </c>
      <c r="B15" s="4">
        <f>Metrics!B6</f>
        <v>4835010.9799999995</v>
      </c>
      <c r="C15" t="s">
        <v>0</v>
      </c>
      <c r="E15" s="5">
        <f t="shared" ref="E15:E22" si="2">B15</f>
        <v>4835010.9799999995</v>
      </c>
      <c r="F15" s="5">
        <f>E15+B3</f>
        <v>4835010.9799999995</v>
      </c>
      <c r="I15" s="5"/>
      <c r="J15" s="5"/>
    </row>
    <row r="16" spans="1:15" x14ac:dyDescent="0.15">
      <c r="A16" t="s">
        <v>52</v>
      </c>
      <c r="B16" s="4">
        <f>Metrics!B7</f>
        <v>4075977.8000000007</v>
      </c>
      <c r="C16" t="s">
        <v>2</v>
      </c>
      <c r="E16" s="5">
        <f t="shared" si="2"/>
        <v>4075977.8000000007</v>
      </c>
      <c r="F16" s="5">
        <f>E16+B4</f>
        <v>4075977.8000000007</v>
      </c>
      <c r="I16" s="5"/>
    </row>
    <row r="17" spans="1:10" x14ac:dyDescent="0.15">
      <c r="A17" t="s">
        <v>53</v>
      </c>
      <c r="B17" s="4">
        <f>Metrics!B8</f>
        <v>1418905.4</v>
      </c>
      <c r="C17" t="s">
        <v>2</v>
      </c>
      <c r="E17" s="5">
        <f t="shared" si="2"/>
        <v>1418905.4</v>
      </c>
      <c r="F17" s="5">
        <f t="shared" ref="F17" si="3">E17+B5</f>
        <v>1418905.4</v>
      </c>
      <c r="I17" s="5"/>
    </row>
    <row r="18" spans="1:10" x14ac:dyDescent="0.15">
      <c r="A18" t="s">
        <v>54</v>
      </c>
      <c r="B18" s="4">
        <f>Metrics!B9</f>
        <v>187815</v>
      </c>
      <c r="C18" t="s">
        <v>4</v>
      </c>
      <c r="E18" s="5">
        <f t="shared" si="2"/>
        <v>187815</v>
      </c>
      <c r="F18" s="5">
        <f>E18+B6</f>
        <v>187815</v>
      </c>
      <c r="I18" s="5"/>
    </row>
    <row r="19" spans="1:10" x14ac:dyDescent="0.15">
      <c r="A19" t="s">
        <v>55</v>
      </c>
      <c r="B19" s="4">
        <f>Metrics!B10</f>
        <v>33300391.970000003</v>
      </c>
      <c r="C19" t="s">
        <v>0</v>
      </c>
      <c r="E19" s="5">
        <f>B19</f>
        <v>33300391.970000003</v>
      </c>
      <c r="F19" s="5">
        <f>E19+B3</f>
        <v>33300391.970000003</v>
      </c>
      <c r="I19" s="5"/>
      <c r="J19" s="5"/>
    </row>
    <row r="20" spans="1:10" x14ac:dyDescent="0.15">
      <c r="A20" t="s">
        <v>56</v>
      </c>
      <c r="B20" s="4">
        <f>Metrics!B11</f>
        <v>31351252.959999997</v>
      </c>
      <c r="C20" t="s">
        <v>2</v>
      </c>
      <c r="E20" s="5">
        <f t="shared" si="2"/>
        <v>31351252.959999997</v>
      </c>
      <c r="F20" s="5">
        <f t="shared" ref="F20:F22" si="4">E20+B4</f>
        <v>31351252.959999997</v>
      </c>
      <c r="I20" s="5"/>
      <c r="J20" s="5"/>
    </row>
    <row r="21" spans="1:10" x14ac:dyDescent="0.15">
      <c r="A21" t="s">
        <v>57</v>
      </c>
      <c r="B21" s="4">
        <f>Metrics!B12</f>
        <v>11700627.440000001</v>
      </c>
      <c r="C21" t="s">
        <v>2</v>
      </c>
      <c r="E21" s="5">
        <f t="shared" si="2"/>
        <v>11700627.440000001</v>
      </c>
      <c r="F21" s="5">
        <f t="shared" si="4"/>
        <v>11700627.440000001</v>
      </c>
      <c r="I21" s="5"/>
      <c r="J21" s="5"/>
    </row>
    <row r="22" spans="1:10" x14ac:dyDescent="0.15">
      <c r="A22" t="s">
        <v>58</v>
      </c>
      <c r="B22" s="4">
        <f>Metrics!B13</f>
        <v>1285445</v>
      </c>
      <c r="C22" t="s">
        <v>4</v>
      </c>
      <c r="E22" s="5">
        <f t="shared" si="2"/>
        <v>1285445</v>
      </c>
      <c r="F22" s="5">
        <f t="shared" si="4"/>
        <v>1285445</v>
      </c>
      <c r="I22" s="5"/>
      <c r="J22" s="5"/>
    </row>
    <row r="23" spans="1:10" x14ac:dyDescent="0.15">
      <c r="A23" t="s">
        <v>59</v>
      </c>
      <c r="B23" s="4">
        <v>43435.85</v>
      </c>
      <c r="C23" t="s">
        <v>2</v>
      </c>
      <c r="E23">
        <v>43435.85</v>
      </c>
    </row>
    <row r="24" spans="1:10" x14ac:dyDescent="0.15">
      <c r="A24" t="s">
        <v>60</v>
      </c>
      <c r="B24" s="4">
        <v>375153.84</v>
      </c>
      <c r="C24" t="s">
        <v>2</v>
      </c>
      <c r="E24">
        <v>375153.84</v>
      </c>
    </row>
    <row r="25" spans="1:10" x14ac:dyDescent="0.15">
      <c r="A25" t="s">
        <v>61</v>
      </c>
      <c r="B25" s="4">
        <v>2564822.21</v>
      </c>
      <c r="C25" t="s">
        <v>2</v>
      </c>
      <c r="E25">
        <v>2564822.21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0"/>
  <sheetViews>
    <sheetView workbookViewId="0">
      <selection activeCell="G10" sqref="G10"/>
    </sheetView>
  </sheetViews>
  <sheetFormatPr defaultRowHeight="13.5" x14ac:dyDescent="0.15"/>
  <cols>
    <col min="2" max="2" width="15.625" customWidth="1"/>
    <col min="3" max="3" width="2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4883217.96</v>
      </c>
      <c r="C5" s="5">
        <v>1541061.48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</f>
        <v>4796302.9499999993</v>
      </c>
      <c r="C9" s="5">
        <f>1270602.14+136362.21+8.63</f>
        <v>1406972.9799999997</v>
      </c>
    </row>
    <row r="10" spans="1:7" x14ac:dyDescent="0.15">
      <c r="B10" s="4"/>
      <c r="C10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B9"/>
  <sheetViews>
    <sheetView workbookViewId="0">
      <selection activeCell="D10" sqref="D10"/>
    </sheetView>
  </sheetViews>
  <sheetFormatPr defaultRowHeight="13.5" x14ac:dyDescent="0.15"/>
  <cols>
    <col min="2" max="2" width="15.5" style="5" customWidth="1"/>
  </cols>
  <sheetData>
    <row r="1" spans="1:2" x14ac:dyDescent="0.15">
      <c r="A1" t="s">
        <v>74</v>
      </c>
      <c r="B1" s="5" t="s">
        <v>43</v>
      </c>
    </row>
    <row r="2" spans="1:2" x14ac:dyDescent="0.15">
      <c r="A2">
        <v>2018</v>
      </c>
      <c r="B2" s="5">
        <v>37577.760000000002</v>
      </c>
    </row>
    <row r="3" spans="1:2" x14ac:dyDescent="0.15">
      <c r="A3">
        <v>2019</v>
      </c>
      <c r="B3" s="5">
        <v>287272.8200000003</v>
      </c>
    </row>
    <row r="4" spans="1:2" x14ac:dyDescent="0.15">
      <c r="A4">
        <v>2020</v>
      </c>
      <c r="B4" s="5">
        <v>329854.87</v>
      </c>
    </row>
    <row r="5" spans="1:2" x14ac:dyDescent="0.15">
      <c r="A5">
        <v>2021</v>
      </c>
      <c r="B5" s="5">
        <v>492025.49999999971</v>
      </c>
    </row>
    <row r="6" spans="1:2" x14ac:dyDescent="0.15">
      <c r="A6">
        <v>2022</v>
      </c>
      <c r="B6" s="5">
        <v>474854.6999999999</v>
      </c>
    </row>
    <row r="7" spans="1:2" x14ac:dyDescent="0.15">
      <c r="A7">
        <v>2023</v>
      </c>
      <c r="B7" s="5">
        <v>470940.66999999975</v>
      </c>
    </row>
    <row r="8" spans="1:2" x14ac:dyDescent="0.15">
      <c r="A8">
        <v>2024</v>
      </c>
      <c r="B8" s="5">
        <v>605487.00999999978</v>
      </c>
    </row>
    <row r="9" spans="1:2" x14ac:dyDescent="0.15">
      <c r="A9">
        <v>2025</v>
      </c>
      <c r="B9" s="5">
        <f>469512.04+47003.13</f>
        <v>516515.17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6" workbookViewId="0">
      <selection activeCell="F25" sqref="F25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</f>
        <v>58466.8</v>
      </c>
    </row>
    <row r="19" spans="1:3" x14ac:dyDescent="0.15">
      <c r="A19" t="s">
        <v>77</v>
      </c>
      <c r="B19">
        <v>2025</v>
      </c>
      <c r="C19">
        <f>13636.01+1220.3+1118.56</f>
        <v>15974.869999999999</v>
      </c>
    </row>
    <row r="20" spans="1:3" x14ac:dyDescent="0.15">
      <c r="A20" t="s">
        <v>78</v>
      </c>
      <c r="B20">
        <v>2025</v>
      </c>
      <c r="C20">
        <f>20146+1580+915</f>
        <v>22641</v>
      </c>
    </row>
    <row r="21" spans="1:3" x14ac:dyDescent="0.15">
      <c r="A21" t="s">
        <v>79</v>
      </c>
      <c r="B21">
        <v>2025</v>
      </c>
      <c r="C21">
        <f>126864.8+14407</f>
        <v>141271.79999999999</v>
      </c>
    </row>
    <row r="22" spans="1:3" x14ac:dyDescent="0.15">
      <c r="A22" t="s">
        <v>80</v>
      </c>
      <c r="B22">
        <v>2025</v>
      </c>
      <c r="C22">
        <f>41004.1+3749.8+3811.6</f>
        <v>48565.5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</f>
        <v>92210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</f>
        <v>81540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2025-11-04T00:21:11Z</dcterms:modified>
</cp:coreProperties>
</file>