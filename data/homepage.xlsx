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activeTab="8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C31" i="8" l="1"/>
  <c r="F94" i="9" l="1"/>
  <c r="E94" i="9"/>
  <c r="C94" i="9"/>
  <c r="C3" i="2"/>
  <c r="B3" i="2"/>
  <c r="B19" i="5" l="1"/>
  <c r="C26" i="8" l="1"/>
  <c r="D90" i="10"/>
  <c r="B12" i="5" l="1"/>
  <c r="B13" i="5"/>
  <c r="B14" i="5"/>
  <c r="B15" i="5"/>
  <c r="B16" i="5"/>
  <c r="B17" i="5"/>
  <c r="B18" i="5"/>
  <c r="B20" i="5"/>
  <c r="B21" i="5"/>
  <c r="B22" i="5"/>
  <c r="B23" i="5"/>
  <c r="B24" i="5"/>
  <c r="B25" i="5"/>
  <c r="B11" i="5"/>
  <c r="C24" i="8" l="1"/>
  <c r="C22" i="8"/>
  <c r="C21" i="8"/>
  <c r="C20" i="8"/>
  <c r="C19" i="8"/>
  <c r="C18" i="8"/>
  <c r="D92" i="9" l="1"/>
  <c r="E92" i="9"/>
  <c r="C92" i="9"/>
  <c r="F92" i="9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F13" i="5" s="1"/>
  <c r="E14" i="5"/>
  <c r="F12" i="5" l="1"/>
  <c r="F14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F21" i="5" s="1"/>
  <c r="E22" i="5"/>
  <c r="E19" i="5" l="1"/>
  <c r="F19" i="5" s="1"/>
  <c r="F20" i="5"/>
  <c r="F22" i="5"/>
  <c r="A1" i="5" l="1"/>
</calcChain>
</file>

<file path=xl/sharedStrings.xml><?xml version="1.0" encoding="utf-8"?>
<sst xmlns="http://schemas.openxmlformats.org/spreadsheetml/2006/main" count="259" uniqueCount="192">
  <si>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</si>
  <si>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</si>
  <si>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</si>
  <si>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</si>
  <si>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</si>
  <si>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</si>
  <si>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</si>
  <si>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</si>
  <si>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</si>
  <si>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</si>
  <si>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</si>
  <si>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</si>
  <si>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</si>
  <si>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</si>
  <si>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</si>
  <si>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</si>
  <si>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</si>
  <si>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</si>
  <si>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</si>
  <si>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</si>
  <si>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</si>
  <si>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</si>
  <si>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</si>
  <si>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</si>
  <si>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</si>
  <si>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</si>
  <si>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</si>
  <si>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</si>
  <si>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</si>
  <si>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</si>
  <si>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</si>
  <si>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</si>
  <si>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</si>
  <si>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</si>
  <si>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</si>
  <si>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</si>
  <si>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</si>
  <si>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</si>
  <si>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</si>
  <si>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</si>
  <si>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</si>
  <si>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</si>
  <si>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</si>
  <si>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</si>
  <si>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</si>
  <si>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</si>
  <si>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</si>
  <si>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</si>
  <si>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</si>
  <si>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</si>
  <si>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</si>
  <si>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</si>
  <si>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</si>
  <si>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</si>
  <si>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</si>
  <si>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</si>
  <si>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</si>
  <si>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</si>
  <si>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</si>
  <si>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</si>
  <si>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</si>
  <si>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</si>
  <si>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</si>
  <si>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</si>
  <si>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</si>
  <si>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</si>
  <si>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</si>
  <si>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</si>
  <si>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</si>
  <si>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</si>
  <si>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</si>
  <si>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</si>
  <si>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</si>
  <si>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</si>
  <si>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</si>
  <si>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</si>
  <si>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</si>
  <si>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</si>
  <si>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</si>
  <si>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</si>
  <si>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</si>
  <si>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</si>
  <si>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</si>
  <si>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</si>
  <si>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</si>
  <si>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</si>
  <si>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</si>
  <si>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</si>
  <si>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</si>
  <si>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</si>
  <si>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</si>
  <si>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</si>
  <si>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</si>
  <si>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</si>
  <si>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</si>
  <si>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</si>
  <si>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</si>
  <si>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</si>
  <si>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</si>
  <si>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</si>
  <si>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</si>
  <si>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</si>
  <si>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</si>
  <si>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</si>
  <si>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</si>
  <si>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</si>
  <si>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</si>
  <si>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</si>
  <si>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</si>
  <si>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</si>
  <si>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</si>
  <si>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</si>
  <si>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</si>
  <si>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</si>
  <si>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</si>
  <si>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</si>
  <si>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</si>
  <si>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</si>
  <si>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</si>
  <si>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</si>
  <si>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</si>
  <si>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</si>
  <si>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</si>
  <si>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</si>
  <si>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</si>
  <si>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</si>
  <si>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</si>
  <si>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</si>
  <si>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</si>
  <si>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</si>
  <si>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</si>
  <si>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</si>
  <si>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</si>
  <si>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</si>
  <si>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</si>
  <si>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</si>
  <si>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</si>
  <si>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</si>
  <si>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</si>
  <si>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</si>
  <si>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</si>
  <si>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</si>
  <si>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</si>
  <si>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</si>
  <si>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</si>
  <si>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</si>
  <si>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</si>
  <si>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</si>
  <si>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</si>
  <si>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</si>
  <si>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</si>
  <si>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</si>
  <si>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</si>
  <si>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</si>
  <si>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</si>
  <si>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</si>
  <si>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</si>
  <si>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</si>
  <si>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</si>
  <si>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</si>
  <si>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</si>
  <si>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</si>
  <si>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</si>
  <si>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</si>
  <si>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</si>
  <si>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</si>
  <si>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</si>
  <si>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</si>
  <si>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</si>
  <si>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</si>
  <si>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</si>
  <si>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</si>
  <si>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</si>
  <si>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</si>
  <si>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</si>
  <si>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</si>
  <si>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</si>
  <si>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</si>
  <si>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</si>
  <si>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</si>
  <si>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</si>
  <si>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</si>
  <si>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</si>
  <si>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</si>
  <si>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</si>
  <si>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</si>
  <si>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</si>
  <si>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</si>
  <si>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</si>
  <si>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</si>
  <si>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月租车</t>
  </si>
  <si>
    <t>2026年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</si>
</sst>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  <numFmt numFmtId="181" formatCode="0.00_);[Red]\(0.00\)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22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  <xf numFmtId="0" fontId="0" fillId="0" borderId="10" xfId="0" applyBorder="1"/>
    <xf numFmtId="178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" fontId="0" fillId="0" borderId="10" xfId="0" applyNumberFormat="1" applyBorder="1" applyAlignment="1">
      <alignment horizontal="center" vertical="center"/>
    </xf>
    <xf numFmtId="181" fontId="0" fillId="0" borderId="0" xfId="0" applyNumberFormat="1"/>
    <xf numFmtId="0" fontId="0" fillId="0" borderId="10" xfId="0" applyFill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6" sqref="D6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164629.35</v>
      </c>
      <c r="C2" t="s">
        <v>1</v>
      </c>
      <c r="E2" s="1"/>
    </row>
    <row r="3" spans="1:5" x14ac:dyDescent="0.15">
      <c r="A3" t="s">
        <v>26</v>
      </c>
      <c r="B3" s="1">
        <v>141055.45000000001</v>
      </c>
      <c r="C3" t="s">
        <v>3</v>
      </c>
      <c r="E3" s="1"/>
    </row>
    <row r="4" spans="1:5" x14ac:dyDescent="0.15">
      <c r="A4" t="s">
        <v>27</v>
      </c>
      <c r="B4" s="1">
        <v>56609.989999999991</v>
      </c>
      <c r="C4" t="s">
        <v>3</v>
      </c>
      <c r="E4" s="1"/>
    </row>
    <row r="5" spans="1:5" x14ac:dyDescent="0.15">
      <c r="A5" t="s">
        <v>28</v>
      </c>
      <c r="B5" s="2">
        <v>6496</v>
      </c>
      <c r="C5" t="s">
        <v>5</v>
      </c>
      <c r="E5" s="1"/>
    </row>
    <row r="6" spans="1:5" x14ac:dyDescent="0.15">
      <c r="A6" t="s">
        <v>29</v>
      </c>
      <c r="B6" s="1">
        <v>1090081.27</v>
      </c>
      <c r="C6" t="s">
        <v>0</v>
      </c>
    </row>
    <row r="7" spans="1:5" x14ac:dyDescent="0.15">
      <c r="A7" t="s">
        <v>30</v>
      </c>
      <c r="B7" s="1">
        <v>909980.6100000001</v>
      </c>
      <c r="C7" t="s">
        <v>2</v>
      </c>
    </row>
    <row r="8" spans="1:5" x14ac:dyDescent="0.15">
      <c r="A8" t="s">
        <v>31</v>
      </c>
      <c r="B8" s="1">
        <v>340526.36</v>
      </c>
      <c r="C8" t="s">
        <v>2</v>
      </c>
    </row>
    <row r="9" spans="1:5" x14ac:dyDescent="0.15">
      <c r="A9" t="s">
        <v>32</v>
      </c>
      <c r="B9" s="2">
        <v>43671</v>
      </c>
      <c r="C9" t="s">
        <v>4</v>
      </c>
    </row>
    <row r="10" spans="1:5" x14ac:dyDescent="0.15">
      <c r="A10" t="s">
        <v>33</v>
      </c>
      <c r="B10" s="1">
        <v>35191333</v>
      </c>
      <c r="C10" t="s">
        <v>0</v>
      </c>
      <c r="E10" s="1"/>
    </row>
    <row r="11" spans="1:5" x14ac:dyDescent="0.15">
      <c r="A11" t="s">
        <v>34</v>
      </c>
      <c r="B11" s="1">
        <v>32955973.399999999</v>
      </c>
      <c r="C11" t="s">
        <v>2</v>
      </c>
      <c r="D11" s="1"/>
    </row>
    <row r="12" spans="1:5" x14ac:dyDescent="0.15">
      <c r="A12" t="s">
        <v>35</v>
      </c>
      <c r="B12" s="1">
        <v>12286340.220000001</v>
      </c>
      <c r="C12" t="s">
        <v>2</v>
      </c>
    </row>
    <row r="13" spans="1:5" x14ac:dyDescent="0.15">
      <c r="A13" t="s">
        <v>36</v>
      </c>
      <c r="B13" s="2">
        <v>1361578</v>
      </c>
      <c r="C13" t="s">
        <v>4</v>
      </c>
    </row>
    <row r="14" spans="1:5" x14ac:dyDescent="0.15">
      <c r="A14" t="s">
        <v>37</v>
      </c>
      <c r="B14" s="1">
        <v>48807.1</v>
      </c>
      <c r="C14" t="s">
        <v>3</v>
      </c>
      <c r="E14" s="1"/>
    </row>
    <row r="15" spans="1:5" x14ac:dyDescent="0.15">
      <c r="A15" t="s">
        <v>38</v>
      </c>
      <c r="B15" s="1">
        <v>48807.1</v>
      </c>
      <c r="C15" t="s">
        <v>3</v>
      </c>
      <c r="D15" s="1"/>
    </row>
    <row r="16" spans="1:5" x14ac:dyDescent="0.15">
      <c r="A16" t="s">
        <v>39</v>
      </c>
      <c r="B16" s="1">
        <v>3323971.81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F12" sqref="F12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580496.03</v>
      </c>
      <c r="C2">
        <v>164409.51999999999</v>
      </c>
    </row>
    <row r="3" spans="1:3" x14ac:dyDescent="0.15">
      <c r="A3" t="s">
        <v>10</v>
      </c>
      <c r="B3">
        <f>255055.85+89760.3</f>
        <v>344816.15</v>
      </c>
      <c r="C3">
        <f>94835.53+24646.28</f>
        <v>119481.81</v>
      </c>
    </row>
    <row r="4" spans="1:3" x14ac:dyDescent="0.15">
      <c r="A4" t="s">
        <v>11</v>
      </c>
      <c r="B4">
        <v>450668.16</v>
      </c>
      <c r="C4">
        <v>154708.91</v>
      </c>
    </row>
    <row r="5" spans="1:3" x14ac:dyDescent="0.15">
      <c r="A5" t="s">
        <v>12</v>
      </c>
    </row>
    <row r="6" spans="1:3" x14ac:dyDescent="0.15">
      <c r="A6" t="s">
        <v>13</v>
      </c>
    </row>
    <row r="7" spans="1:3" x14ac:dyDescent="0.15">
      <c r="A7" t="s">
        <v>14</v>
      </c>
    </row>
    <row r="8" spans="1:3" x14ac:dyDescent="0.15">
      <c r="A8" t="s">
        <v>15</v>
      </c>
    </row>
    <row r="9" spans="1:3" x14ac:dyDescent="0.15">
      <c r="A9" t="s">
        <v>16</v>
      </c>
    </row>
    <row r="10" spans="1:3" x14ac:dyDescent="0.15">
      <c r="A10" t="s">
        <v>18</v>
      </c>
    </row>
    <row r="11" spans="1:3" x14ac:dyDescent="0.15">
      <c r="A11" t="s">
        <v>19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91" workbookViewId="0">
      <selection activeCell="D119" sqref="D119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22.7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3" spans="1:6" x14ac:dyDescent="0.15">
      <c r="A93" s="17">
        <v>46023</v>
      </c>
      <c r="B93" s="18">
        <v>580496.03</v>
      </c>
      <c r="C93" s="18">
        <v>288277.65999999997</v>
      </c>
      <c r="D93" s="18">
        <v>164409.51999999999</v>
      </c>
      <c r="E93" s="18">
        <v>452687.18</v>
      </c>
      <c r="F93" s="18">
        <v>23473</v>
      </c>
    </row>
    <row r="94" spans="1:6" x14ac:dyDescent="0.15">
      <c r="A94" s="17">
        <v>46055</v>
      </c>
      <c r="B94" s="18">
        <v>344816.15</v>
      </c>
      <c r="C94" s="18">
        <f>57206.52+139442.38</f>
        <v>196648.9</v>
      </c>
      <c r="D94" s="19">
        <v>119481.81</v>
      </c>
      <c r="E94" s="19">
        <f>D94+C94</f>
        <v>316130.70999999996</v>
      </c>
      <c r="F94" s="18">
        <f>10561+3138</f>
        <v>13699</v>
      </c>
    </row>
    <row r="95" spans="1:6" x14ac:dyDescent="0.15">
      <c r="A95" s="17">
        <v>46084</v>
      </c>
      <c r="B95" s="10">
        <v>450668.16</v>
      </c>
      <c r="C95" s="10">
        <v>231015.32</v>
      </c>
      <c r="D95" s="19">
        <v>154708.91</v>
      </c>
      <c r="E95" s="19">
        <v>385724.23</v>
      </c>
      <c r="F95" s="10">
        <v>18788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92"/>
  <sheetViews>
    <sheetView workbookViewId="0">
      <pane ySplit="1" topLeftCell="A86" activePane="bottomLeft" state="frozen"/>
      <selection pane="bottomLeft" activeCell="L101" sqref="L101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  <row r="90" spans="1:11" x14ac:dyDescent="0.15">
      <c r="A90" s="9">
        <v>46023</v>
      </c>
      <c r="B90" s="16">
        <v>6354.57</v>
      </c>
      <c r="C90" s="16">
        <v>1655.3</v>
      </c>
      <c r="D90" s="10">
        <f>7060+6248</f>
        <v>13308</v>
      </c>
      <c r="E90" s="10">
        <v>2950.2</v>
      </c>
      <c r="F90" s="10">
        <v>2400</v>
      </c>
      <c r="G90" s="10">
        <v>0</v>
      </c>
      <c r="H90" s="10">
        <v>0</v>
      </c>
      <c r="I90" s="10">
        <v>11830</v>
      </c>
      <c r="J90" s="10">
        <v>0</v>
      </c>
      <c r="K90" s="10">
        <v>10040</v>
      </c>
    </row>
    <row r="91" spans="1:11" x14ac:dyDescent="0.15">
      <c r="A91" s="9">
        <v>46055</v>
      </c>
      <c r="B91" s="16">
        <v>6497.78</v>
      </c>
      <c r="C91" s="16">
        <v>2174.98</v>
      </c>
      <c r="D91" s="16">
        <v>7166.2</v>
      </c>
      <c r="E91" s="16">
        <v>2564.1</v>
      </c>
      <c r="F91" s="10">
        <v>1515</v>
      </c>
      <c r="G91" s="10">
        <v>0</v>
      </c>
      <c r="H91" s="10">
        <v>0</v>
      </c>
      <c r="I91" s="10">
        <v>8265</v>
      </c>
      <c r="J91" s="10">
        <v>0</v>
      </c>
      <c r="K91" s="10">
        <v>8750</v>
      </c>
    </row>
    <row r="92" spans="1:11" x14ac:dyDescent="0.15">
      <c r="A92" s="9">
        <v>46084</v>
      </c>
      <c r="B92" s="21">
        <v>5759.6</v>
      </c>
      <c r="C92" s="21">
        <v>1603.87</v>
      </c>
      <c r="D92" s="21">
        <v>9252.93</v>
      </c>
      <c r="E92" s="21">
        <v>2200.4</v>
      </c>
      <c r="F92" s="10">
        <v>2110</v>
      </c>
      <c r="G92" s="10">
        <v>0</v>
      </c>
      <c r="H92" s="10"/>
      <c r="I92" s="10">
        <v>10840</v>
      </c>
      <c r="J92" s="10">
        <v>0</v>
      </c>
      <c r="K92" s="10">
        <v>12740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D10" sqref="D10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48807.1</v>
      </c>
    </row>
    <row r="3" spans="1:2" x14ac:dyDescent="0.15">
      <c r="A3" t="s">
        <v>10</v>
      </c>
      <c r="B3">
        <v>36933.06</v>
      </c>
    </row>
    <row r="4" spans="1:2" x14ac:dyDescent="0.15">
      <c r="A4" t="s">
        <v>11</v>
      </c>
      <c r="B4">
        <v>44506.8</v>
      </c>
    </row>
    <row r="5" spans="1:2" x14ac:dyDescent="0.15">
      <c r="A5" t="s">
        <v>12</v>
      </c>
    </row>
    <row r="6" spans="1:2" x14ac:dyDescent="0.15">
      <c r="A6" t="s">
        <v>13</v>
      </c>
    </row>
    <row r="7" spans="1:2" x14ac:dyDescent="0.15">
      <c r="A7" t="s">
        <v>14</v>
      </c>
    </row>
    <row r="8" spans="1:2" x14ac:dyDescent="0.15">
      <c r="A8" t="s">
        <v>15</v>
      </c>
    </row>
    <row r="9" spans="1:2" x14ac:dyDescent="0.15">
      <c r="A9" t="s">
        <v>16</v>
      </c>
    </row>
    <row r="10" spans="1:2" x14ac:dyDescent="0.15">
      <c r="A10" t="s">
        <v>18</v>
      </c>
    </row>
    <row r="11" spans="1:2" x14ac:dyDescent="0.15">
      <c r="A11" t="s">
        <v>19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B45" sqref="B45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46114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>
        <v>60252.97</v>
      </c>
      <c r="C3" t="s">
        <v>0</v>
      </c>
    </row>
    <row r="4" spans="1:15" x14ac:dyDescent="0.15">
      <c r="A4" t="s">
        <v>43</v>
      </c>
      <c r="B4" s="4">
        <v>51649.659999999996</v>
      </c>
      <c r="C4" t="s">
        <v>2</v>
      </c>
    </row>
    <row r="5" spans="1:15" x14ac:dyDescent="0.15">
      <c r="A5" t="s">
        <v>44</v>
      </c>
      <c r="B5" s="20">
        <v>20689.639999999996</v>
      </c>
      <c r="C5" t="s">
        <v>2</v>
      </c>
    </row>
    <row r="6" spans="1:15" x14ac:dyDescent="0.15">
      <c r="A6" t="s">
        <v>45</v>
      </c>
      <c r="B6" s="4">
        <v>2502</v>
      </c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164629.35</v>
      </c>
      <c r="C11" t="s">
        <v>0</v>
      </c>
      <c r="E11" s="5">
        <f>B11</f>
        <v>164629.35</v>
      </c>
      <c r="F11" s="5">
        <f>E11+B3</f>
        <v>224882.32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141055.45000000001</v>
      </c>
      <c r="C12" t="s">
        <v>2</v>
      </c>
      <c r="E12" s="5">
        <f t="shared" ref="E12:E14" si="0">B12</f>
        <v>141055.45000000001</v>
      </c>
      <c r="F12" s="5">
        <f t="shared" ref="F12:F14" si="1">E12+B4</f>
        <v>192705.11000000002</v>
      </c>
      <c r="H12" s="5"/>
      <c r="I12" s="5"/>
    </row>
    <row r="13" spans="1:15" x14ac:dyDescent="0.15">
      <c r="A13" t="s">
        <v>48</v>
      </c>
      <c r="B13" s="4">
        <f>Metrics!B4</f>
        <v>56609.989999999991</v>
      </c>
      <c r="C13" t="s">
        <v>2</v>
      </c>
      <c r="E13" s="5">
        <f t="shared" si="0"/>
        <v>56609.989999999991</v>
      </c>
      <c r="F13" s="5">
        <f t="shared" si="1"/>
        <v>77299.62999999999</v>
      </c>
      <c r="H13" s="5"/>
      <c r="I13" s="5"/>
      <c r="L13" s="4"/>
    </row>
    <row r="14" spans="1:15" x14ac:dyDescent="0.15">
      <c r="A14" t="s">
        <v>50</v>
      </c>
      <c r="B14" s="4">
        <f>Metrics!B5</f>
        <v>6496</v>
      </c>
      <c r="C14" t="s">
        <v>4</v>
      </c>
      <c r="E14" s="5">
        <f t="shared" si="0"/>
        <v>6496</v>
      </c>
      <c r="F14" s="5">
        <f t="shared" si="1"/>
        <v>8998</v>
      </c>
      <c r="H14" s="5"/>
      <c r="I14" s="5"/>
      <c r="L14" s="4"/>
    </row>
    <row r="15" spans="1:15" x14ac:dyDescent="0.15">
      <c r="A15" t="s">
        <v>51</v>
      </c>
      <c r="B15" s="4">
        <f>Metrics!B6</f>
        <v>1090081.27</v>
      </c>
      <c r="C15" t="s">
        <v>0</v>
      </c>
      <c r="E15" s="5">
        <f t="shared" ref="E15:E22" si="2">B15</f>
        <v>1090081.27</v>
      </c>
      <c r="F15" s="5">
        <f>E15+B3</f>
        <v>1150334.24</v>
      </c>
      <c r="G15" s="5"/>
      <c r="I15" s="5"/>
      <c r="J15" s="5"/>
    </row>
    <row r="16" spans="1:15" x14ac:dyDescent="0.15">
      <c r="A16" t="s">
        <v>52</v>
      </c>
      <c r="B16" s="4">
        <f>Metrics!B7</f>
        <v>909980.6100000001</v>
      </c>
      <c r="C16" t="s">
        <v>2</v>
      </c>
      <c r="E16" s="5">
        <f t="shared" si="2"/>
        <v>909980.6100000001</v>
      </c>
      <c r="F16" s="5">
        <f>E16+B4</f>
        <v>961630.27000000014</v>
      </c>
      <c r="I16" s="5"/>
    </row>
    <row r="17" spans="1:10" x14ac:dyDescent="0.15">
      <c r="A17" t="s">
        <v>53</v>
      </c>
      <c r="B17" s="4">
        <f>Metrics!B8</f>
        <v>340526.36</v>
      </c>
      <c r="C17" t="s">
        <v>2</v>
      </c>
      <c r="E17" s="5">
        <f t="shared" si="2"/>
        <v>340526.36</v>
      </c>
      <c r="F17" s="5">
        <f>E17+B5</f>
        <v>361216</v>
      </c>
      <c r="I17" s="5"/>
    </row>
    <row r="18" spans="1:10" x14ac:dyDescent="0.15">
      <c r="A18" t="s">
        <v>54</v>
      </c>
      <c r="B18" s="4">
        <f>Metrics!B9</f>
        <v>43671</v>
      </c>
      <c r="C18" t="s">
        <v>4</v>
      </c>
      <c r="E18" s="5">
        <f t="shared" si="2"/>
        <v>43671</v>
      </c>
      <c r="F18" s="5">
        <f>E18+B6</f>
        <v>46173</v>
      </c>
      <c r="H18" s="12"/>
      <c r="I18" s="5"/>
    </row>
    <row r="19" spans="1:10" x14ac:dyDescent="0.15">
      <c r="A19" t="s">
        <v>55</v>
      </c>
      <c r="B19" s="4">
        <f>Metrics!B10</f>
        <v>35191333</v>
      </c>
      <c r="C19" t="s">
        <v>0</v>
      </c>
      <c r="E19" s="5">
        <f>B19</f>
        <v>35191333</v>
      </c>
      <c r="F19" s="5">
        <f>E19+B3</f>
        <v>35251585.969999999</v>
      </c>
      <c r="I19" s="5"/>
      <c r="J19" s="5"/>
    </row>
    <row r="20" spans="1:10" x14ac:dyDescent="0.15">
      <c r="A20" t="s">
        <v>56</v>
      </c>
      <c r="B20" s="4">
        <f>Metrics!B11</f>
        <v>32955973.399999999</v>
      </c>
      <c r="C20" t="s">
        <v>2</v>
      </c>
      <c r="E20" s="5">
        <f t="shared" si="2"/>
        <v>32955973.399999999</v>
      </c>
      <c r="F20" s="5">
        <f t="shared" ref="F20:F22" si="3">E20+B4</f>
        <v>33007623.059999999</v>
      </c>
      <c r="I20" s="5"/>
      <c r="J20" s="5"/>
    </row>
    <row r="21" spans="1:10" x14ac:dyDescent="0.15">
      <c r="A21" t="s">
        <v>57</v>
      </c>
      <c r="B21" s="4">
        <f>Metrics!B12</f>
        <v>12286340.220000001</v>
      </c>
      <c r="C21" t="s">
        <v>2</v>
      </c>
      <c r="E21" s="5">
        <f t="shared" si="2"/>
        <v>12286340.220000001</v>
      </c>
      <c r="F21" s="5">
        <f t="shared" si="3"/>
        <v>12307029.860000001</v>
      </c>
      <c r="I21" s="5"/>
      <c r="J21" s="5"/>
    </row>
    <row r="22" spans="1:10" x14ac:dyDescent="0.15">
      <c r="A22" t="s">
        <v>58</v>
      </c>
      <c r="B22" s="4">
        <f>Metrics!B13</f>
        <v>1361578</v>
      </c>
      <c r="C22" t="s">
        <v>4</v>
      </c>
      <c r="E22" s="5">
        <f t="shared" si="2"/>
        <v>1361578</v>
      </c>
      <c r="F22" s="5">
        <f t="shared" si="3"/>
        <v>1364080</v>
      </c>
      <c r="H22" s="12"/>
      <c r="I22" s="5"/>
      <c r="J22" s="5"/>
    </row>
    <row r="23" spans="1:10" x14ac:dyDescent="0.15">
      <c r="A23" t="s">
        <v>59</v>
      </c>
      <c r="B23" s="4">
        <f>Metrics!B14</f>
        <v>48807.1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48807.1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3323971.81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G7" sqref="G7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229889.73</v>
      </c>
      <c r="C2" s="5">
        <v>152374.23000000001</v>
      </c>
      <c r="G2" s="4"/>
    </row>
    <row r="3" spans="1:7" x14ac:dyDescent="0.15">
      <c r="A3" t="s">
        <v>65</v>
      </c>
      <c r="B3" s="4">
        <v>1380267.33</v>
      </c>
      <c r="C3" s="5">
        <v>708782.7</v>
      </c>
      <c r="G3" s="4"/>
    </row>
    <row r="4" spans="1:7" x14ac:dyDescent="0.15">
      <c r="A4" t="s">
        <v>66</v>
      </c>
      <c r="B4" s="4">
        <v>2965107.6</v>
      </c>
      <c r="C4" s="5">
        <v>1062875.79</v>
      </c>
      <c r="G4" s="4"/>
    </row>
    <row r="5" spans="1:7" x14ac:dyDescent="0.15">
      <c r="A5" t="s">
        <v>67</v>
      </c>
      <c r="B5" s="4">
        <v>4260538.4800000004</v>
      </c>
      <c r="C5" s="5">
        <v>1260741.8400000001</v>
      </c>
      <c r="G5" s="4"/>
    </row>
    <row r="6" spans="1:7" x14ac:dyDescent="0.15">
      <c r="A6" t="s">
        <v>68</v>
      </c>
      <c r="B6" s="4">
        <v>4790817.5599999996</v>
      </c>
      <c r="C6" s="5">
        <v>2006748.84</v>
      </c>
      <c r="G6" s="13"/>
    </row>
    <row r="7" spans="1:7" x14ac:dyDescent="0.15">
      <c r="A7" t="s">
        <v>69</v>
      </c>
      <c r="B7" s="4">
        <v>4889614.41</v>
      </c>
      <c r="C7" s="5">
        <v>1694937.89</v>
      </c>
      <c r="G7" s="5"/>
    </row>
    <row r="8" spans="1:7" x14ac:dyDescent="0.15">
      <c r="A8" t="s">
        <v>70</v>
      </c>
      <c r="B8" s="4">
        <v>6669309.1900000004</v>
      </c>
      <c r="C8" s="5">
        <v>1773151.96</v>
      </c>
    </row>
    <row r="9" spans="1:7" x14ac:dyDescent="0.15">
      <c r="A9" t="s">
        <v>71</v>
      </c>
      <c r="B9" s="4">
        <v>5635870.7300000004</v>
      </c>
      <c r="C9" s="5">
        <v>1664091.82</v>
      </c>
    </row>
    <row r="10" spans="1:7" x14ac:dyDescent="0.15">
      <c r="A10" t="s">
        <v>191</v>
      </c>
      <c r="B10" s="4">
        <v>1376120.09</v>
      </c>
      <c r="C10" s="5">
        <v>438625.28000000003</v>
      </c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I6" sqref="I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37577.760000000002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328844.88</v>
      </c>
    </row>
    <row r="5" spans="1:5" x14ac:dyDescent="0.15">
      <c r="A5">
        <v>2021</v>
      </c>
      <c r="B5" s="5">
        <v>490640.8</v>
      </c>
    </row>
    <row r="6" spans="1:5" x14ac:dyDescent="0.15">
      <c r="A6">
        <v>2022</v>
      </c>
      <c r="B6" s="5">
        <v>475174</v>
      </c>
    </row>
    <row r="7" spans="1:5" x14ac:dyDescent="0.15">
      <c r="A7">
        <v>2023</v>
      </c>
      <c r="B7" s="5">
        <v>487126.37</v>
      </c>
    </row>
    <row r="8" spans="1:5" x14ac:dyDescent="0.15">
      <c r="A8">
        <v>2024</v>
      </c>
      <c r="B8" s="5">
        <v>605795.01</v>
      </c>
    </row>
    <row r="9" spans="1:5" x14ac:dyDescent="0.15">
      <c r="A9">
        <v>2025</v>
      </c>
      <c r="B9" s="5">
        <v>618511.57999999996</v>
      </c>
    </row>
    <row r="10" spans="1:5" x14ac:dyDescent="0.15">
      <c r="A10">
        <v>2026</v>
      </c>
      <c r="B10" s="5">
        <v>139072.76999999999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35"/>
  <sheetViews>
    <sheetView tabSelected="1" topLeftCell="A7" workbookViewId="0">
      <selection activeCell="I23" sqref="I2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  <row r="27" spans="1:3" x14ac:dyDescent="0.15">
      <c r="A27" t="s">
        <v>76</v>
      </c>
      <c r="B27">
        <v>2026</v>
      </c>
      <c r="C27">
        <v>18611.95</v>
      </c>
    </row>
    <row r="28" spans="1:3" x14ac:dyDescent="0.15">
      <c r="A28" t="s">
        <v>77</v>
      </c>
      <c r="B28">
        <v>2026</v>
      </c>
      <c r="C28">
        <v>5434.15</v>
      </c>
    </row>
    <row r="29" spans="1:3" x14ac:dyDescent="0.15">
      <c r="A29" t="s">
        <v>78</v>
      </c>
      <c r="B29">
        <v>2026</v>
      </c>
      <c r="C29">
        <v>6025</v>
      </c>
    </row>
    <row r="30" spans="1:3" x14ac:dyDescent="0.15">
      <c r="A30" t="s">
        <v>79</v>
      </c>
      <c r="B30">
        <v>2026</v>
      </c>
      <c r="C30">
        <v>37891.9</v>
      </c>
    </row>
    <row r="31" spans="1:3" x14ac:dyDescent="0.15">
      <c r="A31" t="s">
        <v>80</v>
      </c>
      <c r="B31">
        <v>2026</v>
      </c>
      <c r="C31">
        <f>5764.5+1957.1</f>
        <v>7721.6</v>
      </c>
    </row>
    <row r="32" spans="1:3" x14ac:dyDescent="0.15">
      <c r="A32" t="s">
        <v>81</v>
      </c>
      <c r="B32">
        <v>2026</v>
      </c>
      <c r="C32">
        <v>0</v>
      </c>
    </row>
    <row r="33" spans="1:3" x14ac:dyDescent="0.15">
      <c r="A33" t="s">
        <v>82</v>
      </c>
      <c r="B33">
        <v>2026</v>
      </c>
      <c r="C33">
        <v>30935</v>
      </c>
    </row>
    <row r="34" spans="1:3" x14ac:dyDescent="0.15">
      <c r="A34" t="s">
        <v>83</v>
      </c>
      <c r="B34">
        <v>2026</v>
      </c>
      <c r="C34">
        <v>0</v>
      </c>
    </row>
    <row r="35" spans="1:3" x14ac:dyDescent="0.15">
      <c r="A35" t="s">
        <v>190</v>
      </c>
      <c r="B35">
        <v>2026</v>
      </c>
      <c r="C35">
        <v>31530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2026-04-03T08:01:12Z</dcterms:modified>
</cp:coreProperties>
</file>