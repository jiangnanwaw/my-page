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8" i="5" l="1"/>
  <c r="B16" i="5"/>
  <c r="B15" i="5"/>
  <c r="C21" i="8" l="1"/>
  <c r="C26" i="8"/>
  <c r="C24" i="8"/>
  <c r="C22" i="8"/>
  <c r="C20" i="8"/>
  <c r="C19" i="8"/>
  <c r="C18" i="8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<sst xmlns="http://schemas.openxmlformats.org/spreadsheetml/2006/main" count="251" uniqueCount="192">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</sst>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#,##0_ "/>
    <numFmt numFmtId="177" formatCode="#,##0.00_ "/>
    <numFmt numFmtId="178" formatCode="yyyy/mm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3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tabSelected="1" workbookViewId="0">
      <selection activeCell="D13" sqref="D1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6.1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12362.01</v>
      </c>
      <c r="C2" t="s">
        <v>1</v>
      </c>
    </row>
    <row r="3" spans="1:4" x14ac:dyDescent="0.15">
      <c r="A3" t="s">
        <v>26</v>
      </c>
      <c r="B3" s="1">
        <v>10742.68</v>
      </c>
      <c r="C3" t="s">
        <v>3</v>
      </c>
    </row>
    <row r="4" spans="1:4" x14ac:dyDescent="0.15">
      <c r="A4" t="s">
        <v>27</v>
      </c>
      <c r="B4" s="1">
        <v>3777.95</v>
      </c>
      <c r="C4" t="s">
        <v>3</v>
      </c>
    </row>
    <row r="5" spans="1:4" x14ac:dyDescent="0.15">
      <c r="A5" t="s">
        <v>28</v>
      </c>
      <c r="B5" s="2">
        <v>540</v>
      </c>
      <c r="C5" t="s">
        <v>5</v>
      </c>
    </row>
    <row r="6" spans="1:4" x14ac:dyDescent="0.15">
      <c r="A6" t="s">
        <v>29</v>
      </c>
      <c r="B6" s="1">
        <v>4808607.76</v>
      </c>
      <c r="C6" t="s">
        <v>0</v>
      </c>
    </row>
    <row r="7" spans="1:4" x14ac:dyDescent="0.15">
      <c r="A7" t="s">
        <v>30</v>
      </c>
      <c r="B7" s="1">
        <v>4052819.3600000003</v>
      </c>
      <c r="C7" t="s">
        <v>2</v>
      </c>
    </row>
    <row r="8" spans="1:4" x14ac:dyDescent="0.15">
      <c r="A8" t="s">
        <v>31</v>
      </c>
      <c r="B8" s="1">
        <v>1410737.78</v>
      </c>
      <c r="C8" t="s">
        <v>2</v>
      </c>
    </row>
    <row r="9" spans="1:4" x14ac:dyDescent="0.15">
      <c r="A9" t="s">
        <v>32</v>
      </c>
      <c r="B9" s="2">
        <v>186747</v>
      </c>
      <c r="C9" t="s">
        <v>4</v>
      </c>
    </row>
    <row r="10" spans="1:4" x14ac:dyDescent="0.15">
      <c r="A10" t="s">
        <v>33</v>
      </c>
      <c r="B10" s="1">
        <v>33273988.750000004</v>
      </c>
      <c r="C10" t="s">
        <v>0</v>
      </c>
    </row>
    <row r="11" spans="1:4" x14ac:dyDescent="0.15">
      <c r="A11" t="s">
        <v>34</v>
      </c>
      <c r="B11" s="1">
        <v>31369037.210000001</v>
      </c>
      <c r="C11" t="s">
        <v>2</v>
      </c>
    </row>
    <row r="12" spans="1:4" x14ac:dyDescent="0.15">
      <c r="A12" t="s">
        <v>35</v>
      </c>
      <c r="B12" s="1">
        <v>11692459.82</v>
      </c>
      <c r="C12" t="s">
        <v>2</v>
      </c>
    </row>
    <row r="13" spans="1:4" x14ac:dyDescent="0.15">
      <c r="A13" t="s">
        <v>36</v>
      </c>
      <c r="B13" s="2">
        <v>1284377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F12" sqref="F12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89"/>
  <sheetViews>
    <sheetView topLeftCell="A73" workbookViewId="0">
      <selection activeCell="I96" sqref="I96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5" width="16.5" customWidth="1"/>
    <col min="6" max="6" width="14.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291934.4999999986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361481.67000000144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v>324029.81999999989</v>
      </c>
      <c r="C21" s="8">
        <v>197844.56</v>
      </c>
      <c r="D21" s="8">
        <v>135800.85</v>
      </c>
      <c r="E21" s="8">
        <f t="shared" si="0"/>
        <v>333645.41000000003</v>
      </c>
      <c r="F21" s="8">
        <v>12238</v>
      </c>
    </row>
    <row r="22" spans="1:6" x14ac:dyDescent="0.15">
      <c r="A22" s="7" t="s">
        <v>106</v>
      </c>
      <c r="B22" s="8">
        <v>71232.629999999859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171210.18000000034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6"/>
  <sheetViews>
    <sheetView workbookViewId="0">
      <pane ySplit="1" topLeftCell="A71" activePane="bottomLeft" state="frozen"/>
      <selection pane="bottomLeft" activeCell="L101" sqref="L101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G22" sqref="G2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I14" sqref="I14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v>12362.01</v>
      </c>
      <c r="C11" t="s">
        <v>0</v>
      </c>
      <c r="E11" s="5">
        <v>12362.01</v>
      </c>
      <c r="F11" s="5">
        <v>12362.01</v>
      </c>
      <c r="I11" s="5"/>
      <c r="N11" s="12"/>
      <c r="O11" s="5"/>
    </row>
    <row r="12" spans="1:15" x14ac:dyDescent="0.15">
      <c r="A12" t="s">
        <v>49</v>
      </c>
      <c r="B12" s="4">
        <v>10742.68</v>
      </c>
      <c r="C12" t="s">
        <v>2</v>
      </c>
      <c r="E12" s="5">
        <v>10742.68</v>
      </c>
      <c r="F12" s="5">
        <v>10742.68</v>
      </c>
      <c r="H12" s="11"/>
      <c r="I12" s="5"/>
    </row>
    <row r="13" spans="1:15" x14ac:dyDescent="0.15">
      <c r="A13" t="s">
        <v>48</v>
      </c>
      <c r="B13" s="4">
        <v>3777.95</v>
      </c>
      <c r="C13" t="s">
        <v>2</v>
      </c>
      <c r="E13" s="5">
        <v>3777.95</v>
      </c>
      <c r="F13" s="5">
        <v>3777.95</v>
      </c>
      <c r="I13" s="5"/>
      <c r="L13" s="4"/>
    </row>
    <row r="14" spans="1:15" x14ac:dyDescent="0.15">
      <c r="A14" t="s">
        <v>50</v>
      </c>
      <c r="B14" s="4">
        <v>540</v>
      </c>
      <c r="C14" t="s">
        <v>4</v>
      </c>
      <c r="E14" s="5">
        <v>540</v>
      </c>
      <c r="F14" s="5">
        <v>540</v>
      </c>
      <c r="I14" s="5"/>
      <c r="L14" s="4"/>
    </row>
    <row r="15" spans="1:15" x14ac:dyDescent="0.15">
      <c r="A15" t="s">
        <v>51</v>
      </c>
      <c r="B15" s="4">
        <f>Metrics!B6</f>
        <v>4808607.76</v>
      </c>
      <c r="C15" t="s">
        <v>0</v>
      </c>
      <c r="E15" s="5">
        <f t="shared" ref="E15:E22" si="0">B15</f>
        <v>4808607.76</v>
      </c>
      <c r="F15" s="5">
        <f>E15+B3</f>
        <v>4808607.76</v>
      </c>
      <c r="I15" s="5"/>
      <c r="J15" s="5"/>
    </row>
    <row r="16" spans="1:15" x14ac:dyDescent="0.15">
      <c r="A16" t="s">
        <v>52</v>
      </c>
      <c r="B16" s="4">
        <f>Metrics!B7</f>
        <v>4052819.3600000003</v>
      </c>
      <c r="C16" t="s">
        <v>2</v>
      </c>
      <c r="E16" s="5">
        <f t="shared" si="0"/>
        <v>4052819.3600000003</v>
      </c>
      <c r="F16" s="5">
        <f>E16+B4</f>
        <v>4052819.3600000003</v>
      </c>
      <c r="I16" s="5"/>
    </row>
    <row r="17" spans="1:10" x14ac:dyDescent="0.15">
      <c r="A17" t="s">
        <v>53</v>
      </c>
      <c r="B17" s="4">
        <f>Metrics!B8</f>
        <v>1410737.78</v>
      </c>
      <c r="C17" t="s">
        <v>2</v>
      </c>
      <c r="E17" s="5">
        <f t="shared" si="0"/>
        <v>1410737.78</v>
      </c>
      <c r="F17" s="5">
        <f t="shared" ref="F17" si="1">E17+B5</f>
        <v>1410737.78</v>
      </c>
      <c r="I17" s="5"/>
    </row>
    <row r="18" spans="1:10" x14ac:dyDescent="0.15">
      <c r="A18" t="s">
        <v>54</v>
      </c>
      <c r="B18" s="4">
        <f>Metrics!B9</f>
        <v>186747</v>
      </c>
      <c r="C18" t="s">
        <v>4</v>
      </c>
      <c r="E18" s="5">
        <f t="shared" si="0"/>
        <v>186747</v>
      </c>
      <c r="F18" s="5">
        <f>E18+B6</f>
        <v>186747</v>
      </c>
      <c r="I18" s="5"/>
    </row>
    <row r="19" spans="1:10" x14ac:dyDescent="0.15">
      <c r="A19" t="s">
        <v>55</v>
      </c>
      <c r="B19" s="4">
        <f>Metrics!B10</f>
        <v>33273988.750000004</v>
      </c>
      <c r="C19" t="s">
        <v>0</v>
      </c>
      <c r="E19" s="5">
        <f>B19</f>
        <v>33273988.750000004</v>
      </c>
      <c r="F19" s="5">
        <f>E19+B3</f>
        <v>33273988.750000004</v>
      </c>
      <c r="I19" s="5"/>
      <c r="J19" s="5"/>
    </row>
    <row r="20" spans="1:10" x14ac:dyDescent="0.15">
      <c r="A20" t="s">
        <v>56</v>
      </c>
      <c r="B20" s="4">
        <f>Metrics!B11</f>
        <v>31369037.210000001</v>
      </c>
      <c r="C20" t="s">
        <v>2</v>
      </c>
      <c r="E20" s="5">
        <f t="shared" si="0"/>
        <v>31369037.210000001</v>
      </c>
      <c r="F20" s="5">
        <f t="shared" ref="F20:F22" si="2">E20+B4</f>
        <v>31369037.210000001</v>
      </c>
      <c r="I20" s="5"/>
      <c r="J20" s="5"/>
    </row>
    <row r="21" spans="1:10" x14ac:dyDescent="0.15">
      <c r="A21" t="s">
        <v>57</v>
      </c>
      <c r="B21" s="4">
        <f>Metrics!B12</f>
        <v>11692459.82</v>
      </c>
      <c r="C21" t="s">
        <v>2</v>
      </c>
      <c r="E21" s="5">
        <f t="shared" si="0"/>
        <v>11692459.82</v>
      </c>
      <c r="F21" s="5">
        <f t="shared" si="2"/>
        <v>11692459.82</v>
      </c>
      <c r="I21" s="5"/>
      <c r="J21" s="5"/>
    </row>
    <row r="22" spans="1:10" x14ac:dyDescent="0.15">
      <c r="A22" t="s">
        <v>58</v>
      </c>
      <c r="B22" s="4">
        <f>Metrics!B13</f>
        <v>1284377</v>
      </c>
      <c r="C22" t="s">
        <v>4</v>
      </c>
      <c r="E22" s="5">
        <f t="shared" si="0"/>
        <v>1284377</v>
      </c>
      <c r="F22" s="5">
        <f t="shared" si="2"/>
        <v>1284377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C10"/>
  <sheetViews>
    <sheetView workbookViewId="0">
      <selection activeCell="E10" sqref="E10"/>
    </sheetView>
  </sheetViews>
  <sheetFormatPr defaultRowHeight="13.5" x14ac:dyDescent="0.15"/>
  <cols>
    <col min="2" max="2" width="15.625" customWidth="1"/>
    <col min="3" max="3" width="20.75" customWidth="1"/>
  </cols>
  <sheetData>
    <row r="1" spans="1:3" x14ac:dyDescent="0.15">
      <c r="A1" t="s">
        <v>63</v>
      </c>
      <c r="B1" t="s">
        <v>72</v>
      </c>
      <c r="C1" t="s">
        <v>73</v>
      </c>
    </row>
    <row r="2" spans="1:3" x14ac:dyDescent="0.15">
      <c r="A2" t="s">
        <v>64</v>
      </c>
      <c r="B2" s="4">
        <v>626624.99</v>
      </c>
      <c r="C2" s="5">
        <v>419522.88</v>
      </c>
    </row>
    <row r="3" spans="1:3" x14ac:dyDescent="0.15">
      <c r="A3" t="s">
        <v>65</v>
      </c>
      <c r="B3" s="4">
        <v>2487651.48</v>
      </c>
      <c r="C3" s="5">
        <v>1298604.49</v>
      </c>
    </row>
    <row r="4" spans="1:3" x14ac:dyDescent="0.15">
      <c r="A4" t="s">
        <v>66</v>
      </c>
      <c r="B4" s="4">
        <v>3580420.55</v>
      </c>
      <c r="C4" s="5">
        <v>1340324.3400000001</v>
      </c>
    </row>
    <row r="5" spans="1:3" x14ac:dyDescent="0.15">
      <c r="A5" t="s">
        <v>67</v>
      </c>
      <c r="B5" s="4">
        <v>4883217.96</v>
      </c>
      <c r="C5" s="5">
        <v>1541061.48</v>
      </c>
    </row>
    <row r="6" spans="1:3" x14ac:dyDescent="0.15">
      <c r="A6" t="s">
        <v>68</v>
      </c>
      <c r="B6" s="4">
        <v>5136589.43</v>
      </c>
      <c r="C6" s="5">
        <v>2141138.69</v>
      </c>
    </row>
    <row r="7" spans="1:3" x14ac:dyDescent="0.15">
      <c r="A7" t="s">
        <v>69</v>
      </c>
      <c r="B7" s="4">
        <v>5076097.29</v>
      </c>
      <c r="C7" s="5">
        <v>1765909.85</v>
      </c>
    </row>
    <row r="8" spans="1:3" x14ac:dyDescent="0.15">
      <c r="A8" t="s">
        <v>70</v>
      </c>
      <c r="B8" s="4">
        <v>6674722.0899999999</v>
      </c>
      <c r="C8" s="5">
        <v>1775147.16</v>
      </c>
    </row>
    <row r="9" spans="1:3" x14ac:dyDescent="0.15">
      <c r="A9" t="s">
        <v>71</v>
      </c>
      <c r="B9" s="4">
        <v>4367131.47</v>
      </c>
      <c r="C9" s="5">
        <v>1270602.1400000001</v>
      </c>
    </row>
    <row r="10" spans="1:3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H12" sqref="H12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v>469512.04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3" sqref="F2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</f>
        <v>53095.83</v>
      </c>
    </row>
    <row r="19" spans="1:3" x14ac:dyDescent="0.15">
      <c r="A19" t="s">
        <v>77</v>
      </c>
      <c r="B19">
        <v>2025</v>
      </c>
      <c r="C19">
        <f>13636.01+1220.3</f>
        <v>14856.31</v>
      </c>
    </row>
    <row r="20" spans="1:3" x14ac:dyDescent="0.15">
      <c r="A20" t="s">
        <v>78</v>
      </c>
      <c r="B20">
        <v>2025</v>
      </c>
      <c r="C20">
        <f>20146+1580</f>
        <v>21726</v>
      </c>
    </row>
    <row r="21" spans="1:3" x14ac:dyDescent="0.15">
      <c r="A21" t="s">
        <v>79</v>
      </c>
      <c r="B21">
        <v>2025</v>
      </c>
      <c r="C21">
        <f>126864.8</f>
        <v>126864.8</v>
      </c>
    </row>
    <row r="22" spans="1:3" x14ac:dyDescent="0.15">
      <c r="A22" t="s">
        <v>80</v>
      </c>
      <c r="B22">
        <v>2025</v>
      </c>
      <c r="C22">
        <f>41004.1+3749.8</f>
        <v>44753.9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</f>
        <v>81490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</f>
        <v>70880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2025-11-02T02:32:04Z</dcterms:modified>
</cp:coreProperties>
</file>