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10" i="6" l="1"/>
  <c r="B10" i="6"/>
  <c r="F94" i="9" l="1"/>
  <c r="E94" i="9"/>
  <c r="C94" i="9"/>
  <c r="C3" i="2"/>
  <c r="B3" i="2"/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F13" i="5" s="1"/>
  <c r="E14" i="5"/>
  <c r="F12" i="5" l="1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F21" i="5" s="1"/>
  <c r="E22" i="5"/>
  <c r="E19" i="5" l="1"/>
  <c r="F19" i="5" s="1"/>
  <c r="F20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<sst xmlns="http://schemas.openxmlformats.org/spreadsheetml/2006/main" count="259" uniqueCount="192">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</sst>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  <numFmt numFmtId="181" formatCode="0.00_);[Red]\(0.00\)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22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81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tabSelected="1" workbookViewId="0">
      <selection activeCell="D6" sqref="D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164629.35</v>
      </c>
      <c r="C2" t="s">
        <v>1</v>
      </c>
      <c r="E2" s="1"/>
    </row>
    <row r="3" spans="1:5" x14ac:dyDescent="0.15">
      <c r="A3" t="s">
        <v>26</v>
      </c>
      <c r="B3" s="1">
        <v>141055.45000000001</v>
      </c>
      <c r="C3" t="s">
        <v>3</v>
      </c>
      <c r="E3" s="1"/>
    </row>
    <row r="4" spans="1:5" x14ac:dyDescent="0.15">
      <c r="A4" t="s">
        <v>27</v>
      </c>
      <c r="B4" s="1">
        <v>56609.989999999991</v>
      </c>
      <c r="C4" t="s">
        <v>3</v>
      </c>
      <c r="E4" s="1"/>
    </row>
    <row r="5" spans="1:5" x14ac:dyDescent="0.15">
      <c r="A5" t="s">
        <v>28</v>
      </c>
      <c r="B5" s="2">
        <v>6496</v>
      </c>
      <c r="C5" t="s">
        <v>5</v>
      </c>
      <c r="E5" s="1"/>
    </row>
    <row r="6" spans="1:5" x14ac:dyDescent="0.15">
      <c r="A6" t="s">
        <v>29</v>
      </c>
      <c r="B6" s="1">
        <v>1090081.27</v>
      </c>
      <c r="C6" t="s">
        <v>0</v>
      </c>
    </row>
    <row r="7" spans="1:5" x14ac:dyDescent="0.15">
      <c r="A7" t="s">
        <v>30</v>
      </c>
      <c r="B7" s="1">
        <v>909980.6100000001</v>
      </c>
      <c r="C7" t="s">
        <v>2</v>
      </c>
    </row>
    <row r="8" spans="1:5" x14ac:dyDescent="0.15">
      <c r="A8" t="s">
        <v>31</v>
      </c>
      <c r="B8" s="1">
        <v>340526.36</v>
      </c>
      <c r="C8" t="s">
        <v>2</v>
      </c>
    </row>
    <row r="9" spans="1:5" x14ac:dyDescent="0.15">
      <c r="A9" t="s">
        <v>32</v>
      </c>
      <c r="B9" s="2">
        <v>43671</v>
      </c>
      <c r="C9" t="s">
        <v>4</v>
      </c>
    </row>
    <row r="10" spans="1:5" x14ac:dyDescent="0.15">
      <c r="A10" t="s">
        <v>33</v>
      </c>
      <c r="B10" s="1">
        <v>35191333</v>
      </c>
      <c r="C10" t="s">
        <v>0</v>
      </c>
      <c r="E10" s="1"/>
    </row>
    <row r="11" spans="1:5" x14ac:dyDescent="0.15">
      <c r="A11" t="s">
        <v>34</v>
      </c>
      <c r="B11" s="1">
        <v>32955973.399999999</v>
      </c>
      <c r="C11" t="s">
        <v>2</v>
      </c>
      <c r="D11" s="1"/>
    </row>
    <row r="12" spans="1:5" x14ac:dyDescent="0.15">
      <c r="A12" t="s">
        <v>35</v>
      </c>
      <c r="B12" s="1">
        <v>12286340.220000001</v>
      </c>
      <c r="C12" t="s">
        <v>2</v>
      </c>
    </row>
    <row r="13" spans="1:5" x14ac:dyDescent="0.15">
      <c r="A13" t="s">
        <v>36</v>
      </c>
      <c r="B13" s="2">
        <v>1361578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21" sqref="C21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  <c r="B3">
        <f>255055.85+89760.3</f>
        <v>344816.15</v>
      </c>
      <c r="C3">
        <f>94835.53+24646.28</f>
        <v>119481.81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53" workbookViewId="0">
      <selection activeCell="J70" sqref="J70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A94" s="17">
        <v>46055</v>
      </c>
      <c r="B94" s="18">
        <v>344816.15</v>
      </c>
      <c r="C94" s="18">
        <f>57206.52+139442.38</f>
        <v>196648.9</v>
      </c>
      <c r="D94" s="19">
        <v>119481.81</v>
      </c>
      <c r="E94" s="19">
        <f>D94+C94</f>
        <v>316130.70999999996</v>
      </c>
      <c r="F94" s="18">
        <f>10561+3138</f>
        <v>13699</v>
      </c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2"/>
  <sheetViews>
    <sheetView workbookViewId="0">
      <pane ySplit="1" topLeftCell="A86" activePane="bottomLeft" state="frozen"/>
      <selection pane="bottomLeft" activeCell="B90" sqref="B90:K91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  <row r="91" spans="1:11" x14ac:dyDescent="0.15">
      <c r="A91" s="9">
        <v>46055</v>
      </c>
      <c r="B91" s="16">
        <v>6497.78</v>
      </c>
      <c r="C91" s="16">
        <v>2174.98</v>
      </c>
      <c r="D91" s="16">
        <v>7166.2</v>
      </c>
      <c r="E91" s="16">
        <v>2564.1</v>
      </c>
      <c r="F91" s="10">
        <v>1515</v>
      </c>
      <c r="G91" s="10"/>
      <c r="H91" s="10"/>
      <c r="I91" s="10">
        <v>8265</v>
      </c>
      <c r="J91" s="10"/>
      <c r="K91" s="10">
        <v>8750</v>
      </c>
    </row>
    <row r="92" spans="1:11" x14ac:dyDescent="0.15">
      <c r="F92" s="20"/>
      <c r="G92" s="20"/>
      <c r="H92" s="20"/>
      <c r="I92" s="20"/>
      <c r="J92" s="20"/>
      <c r="K92" s="2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G15" sqref="G15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  <c r="B3">
        <v>36933.06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B45" sqref="B4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46092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60252.97</v>
      </c>
      <c r="C3" t="s">
        <v>0</v>
      </c>
    </row>
    <row r="4" spans="1:15" x14ac:dyDescent="0.15">
      <c r="A4" t="s">
        <v>43</v>
      </c>
      <c r="B4" s="4">
        <v>51649.659999999996</v>
      </c>
      <c r="C4" t="s">
        <v>2</v>
      </c>
    </row>
    <row r="5" spans="1:15" x14ac:dyDescent="0.15">
      <c r="A5" t="s">
        <v>44</v>
      </c>
      <c r="B5" s="21">
        <v>20689.639999999996</v>
      </c>
      <c r="C5" t="s">
        <v>2</v>
      </c>
    </row>
    <row r="6" spans="1:15" x14ac:dyDescent="0.15">
      <c r="A6" t="s">
        <v>45</v>
      </c>
      <c r="B6" s="4">
        <v>2502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164629.35</v>
      </c>
      <c r="C11" t="s">
        <v>0</v>
      </c>
      <c r="E11" s="5">
        <f>B11</f>
        <v>164629.35</v>
      </c>
      <c r="F11" s="5">
        <f>E11+B3</f>
        <v>224882.32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141055.45000000001</v>
      </c>
      <c r="C12" t="s">
        <v>2</v>
      </c>
      <c r="E12" s="5">
        <f t="shared" ref="E12:E14" si="0">B12</f>
        <v>141055.45000000001</v>
      </c>
      <c r="F12" s="5">
        <f t="shared" ref="F12:F14" si="1">E12+B4</f>
        <v>192705.11000000002</v>
      </c>
      <c r="H12" s="5"/>
      <c r="I12" s="5"/>
    </row>
    <row r="13" spans="1:15" x14ac:dyDescent="0.15">
      <c r="A13" t="s">
        <v>48</v>
      </c>
      <c r="B13" s="4">
        <f>Metrics!B4</f>
        <v>56609.989999999991</v>
      </c>
      <c r="C13" t="s">
        <v>2</v>
      </c>
      <c r="E13" s="5">
        <f t="shared" si="0"/>
        <v>56609.989999999991</v>
      </c>
      <c r="F13" s="5">
        <f t="shared" si="1"/>
        <v>77299.62999999999</v>
      </c>
      <c r="H13" s="5"/>
      <c r="I13" s="5"/>
      <c r="L13" s="4"/>
    </row>
    <row r="14" spans="1:15" x14ac:dyDescent="0.15">
      <c r="A14" t="s">
        <v>50</v>
      </c>
      <c r="B14" s="4">
        <f>Metrics!B5</f>
        <v>6496</v>
      </c>
      <c r="C14" t="s">
        <v>4</v>
      </c>
      <c r="E14" s="5">
        <f t="shared" si="0"/>
        <v>6496</v>
      </c>
      <c r="F14" s="5">
        <f t="shared" si="1"/>
        <v>8998</v>
      </c>
      <c r="H14" s="5"/>
      <c r="I14" s="5"/>
      <c r="L14" s="4"/>
    </row>
    <row r="15" spans="1:15" x14ac:dyDescent="0.15">
      <c r="A15" t="s">
        <v>51</v>
      </c>
      <c r="B15" s="4">
        <f>Metrics!B6</f>
        <v>1090081.27</v>
      </c>
      <c r="C15" t="s">
        <v>0</v>
      </c>
      <c r="E15" s="5">
        <f t="shared" ref="E15:E22" si="2">B15</f>
        <v>1090081.27</v>
      </c>
      <c r="F15" s="5">
        <f>E15+B3</f>
        <v>1150334.24</v>
      </c>
      <c r="G15" s="5"/>
      <c r="I15" s="5"/>
      <c r="J15" s="5"/>
    </row>
    <row r="16" spans="1:15" x14ac:dyDescent="0.15">
      <c r="A16" t="s">
        <v>52</v>
      </c>
      <c r="B16" s="4">
        <f>Metrics!B7</f>
        <v>909980.6100000001</v>
      </c>
      <c r="C16" t="s">
        <v>2</v>
      </c>
      <c r="E16" s="5">
        <f t="shared" si="2"/>
        <v>909980.6100000001</v>
      </c>
      <c r="F16" s="5">
        <f>E16+B4</f>
        <v>961630.27000000014</v>
      </c>
      <c r="I16" s="5"/>
    </row>
    <row r="17" spans="1:10" x14ac:dyDescent="0.15">
      <c r="A17" t="s">
        <v>53</v>
      </c>
      <c r="B17" s="4">
        <f>Metrics!B8</f>
        <v>340526.36</v>
      </c>
      <c r="C17" t="s">
        <v>2</v>
      </c>
      <c r="E17" s="5">
        <f t="shared" si="2"/>
        <v>340526.36</v>
      </c>
      <c r="F17" s="5">
        <f>E17+B5</f>
        <v>361216</v>
      </c>
      <c r="I17" s="5"/>
    </row>
    <row r="18" spans="1:10" x14ac:dyDescent="0.15">
      <c r="A18" t="s">
        <v>54</v>
      </c>
      <c r="B18" s="4">
        <f>Metrics!B9</f>
        <v>43671</v>
      </c>
      <c r="C18" t="s">
        <v>4</v>
      </c>
      <c r="E18" s="5">
        <f t="shared" si="2"/>
        <v>43671</v>
      </c>
      <c r="F18" s="5">
        <f>E18+B6</f>
        <v>46173</v>
      </c>
      <c r="H18" s="12"/>
      <c r="I18" s="5"/>
    </row>
    <row r="19" spans="1:10" x14ac:dyDescent="0.15">
      <c r="A19" t="s">
        <v>55</v>
      </c>
      <c r="B19" s="4">
        <f>Metrics!B10</f>
        <v>35191333</v>
      </c>
      <c r="C19" t="s">
        <v>0</v>
      </c>
      <c r="E19" s="5">
        <f>B19</f>
        <v>35191333</v>
      </c>
      <c r="F19" s="5">
        <f>E19+B3</f>
        <v>35251585.969999999</v>
      </c>
      <c r="I19" s="5"/>
      <c r="J19" s="5"/>
    </row>
    <row r="20" spans="1:10" x14ac:dyDescent="0.15">
      <c r="A20" t="s">
        <v>56</v>
      </c>
      <c r="B20" s="4">
        <f>Metrics!B11</f>
        <v>32955973.399999999</v>
      </c>
      <c r="C20" t="s">
        <v>2</v>
      </c>
      <c r="E20" s="5">
        <f t="shared" si="2"/>
        <v>32955973.399999999</v>
      </c>
      <c r="F20" s="5">
        <f t="shared" ref="F20:F22" si="3">E20+B4</f>
        <v>33007623.059999999</v>
      </c>
      <c r="I20" s="5"/>
      <c r="J20" s="5"/>
    </row>
    <row r="21" spans="1:10" x14ac:dyDescent="0.15">
      <c r="A21" t="s">
        <v>57</v>
      </c>
      <c r="B21" s="4">
        <f>Metrics!B12</f>
        <v>12286340.220000001</v>
      </c>
      <c r="C21" t="s">
        <v>2</v>
      </c>
      <c r="E21" s="5">
        <f t="shared" si="2"/>
        <v>12286340.220000001</v>
      </c>
      <c r="F21" s="5">
        <f t="shared" si="3"/>
        <v>12307029.860000001</v>
      </c>
      <c r="I21" s="5"/>
      <c r="J21" s="5"/>
    </row>
    <row r="22" spans="1:10" x14ac:dyDescent="0.15">
      <c r="A22" t="s">
        <v>58</v>
      </c>
      <c r="B22" s="4">
        <f>Metrics!B13</f>
        <v>1361578</v>
      </c>
      <c r="C22" t="s">
        <v>4</v>
      </c>
      <c r="E22" s="5">
        <f t="shared" si="2"/>
        <v>1361578</v>
      </c>
      <c r="F22" s="5">
        <f t="shared" si="3"/>
        <v>1364080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G14" sqref="G14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f>580496.03+344816.15</f>
        <v>925312.18</v>
      </c>
      <c r="C10" s="5">
        <f>164409.52+119481.81</f>
        <v>283891.32999999996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H11" sqref="H11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85471.13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2026-03-12T02:55:36Z</dcterms:modified>
</cp:coreProperties>
</file>