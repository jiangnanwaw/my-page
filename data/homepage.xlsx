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8" i="5" l="1"/>
  <c r="B16" i="5"/>
  <c r="B15" i="5"/>
  <c r="C21" i="8" l="1"/>
  <c r="C26" i="8"/>
  <c r="C24" i="8"/>
  <c r="C22" i="8"/>
  <c r="C20" i="8"/>
  <c r="C19" i="8"/>
  <c r="C18" i="8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<sst xmlns="http://schemas.openxmlformats.org/spreadsheetml/2006/main" count="251" uniqueCount="192">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</sst>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#,##0_ "/>
    <numFmt numFmtId="177" formatCode="#,##0.00_ "/>
    <numFmt numFmtId="178" formatCode="yyyy/mm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3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tabSelected="1" workbookViewId="0">
      <selection activeCell="L8" sqref="L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31328094.52</v>
      </c>
      <c r="C11" t="s">
        <v>2</v>
      </c>
      <c r="D11" s="1"/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89"/>
  <sheetViews>
    <sheetView topLeftCell="A73" workbookViewId="0">
      <selection activeCell="I96" sqref="I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6"/>
  <sheetViews>
    <sheetView workbookViewId="0">
      <pane ySplit="1" topLeftCell="A71" activePane="bottomLeft" state="frozen"/>
      <selection pane="bottomLeft" activeCell="L101" sqref="L101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22" sqref="G2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31328094.52</v>
      </c>
      <c r="C20" t="s">
        <v>2</v>
      </c>
      <c r="E20" s="5">
        <f t="shared" si="0"/>
        <v>31328094.52</v>
      </c>
      <c r="F20" s="5">
        <f t="shared" ref="F20:F22" si="2">E20+B4</f>
        <v>31328094.52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C10"/>
  <sheetViews>
    <sheetView workbookViewId="0">
      <selection activeCell="E10" sqref="E10"/>
    </sheetView>
  </sheetViews>
  <sheetFormatPr defaultRowHeight="13.5" x14ac:dyDescent="0.15"/>
  <cols>
    <col min="2" max="2" width="15.625" customWidth="1"/>
    <col min="3" max="3" width="20.75" customWidth="1"/>
  </cols>
  <sheetData>
    <row r="1" spans="1:3" x14ac:dyDescent="0.15">
      <c r="A1" t="s">
        <v>63</v>
      </c>
      <c r="B1" t="s">
        <v>72</v>
      </c>
      <c r="C1" t="s">
        <v>73</v>
      </c>
    </row>
    <row r="2" spans="1:3" x14ac:dyDescent="0.15">
      <c r="A2" t="s">
        <v>64</v>
      </c>
      <c r="B2" s="4">
        <v>626624.99</v>
      </c>
      <c r="C2" s="5">
        <v>419522.88</v>
      </c>
    </row>
    <row r="3" spans="1:3" x14ac:dyDescent="0.15">
      <c r="A3" t="s">
        <v>65</v>
      </c>
      <c r="B3" s="4">
        <v>2487651.48</v>
      </c>
      <c r="C3" s="5">
        <v>1298604.49</v>
      </c>
    </row>
    <row r="4" spans="1:3" x14ac:dyDescent="0.15">
      <c r="A4" t="s">
        <v>66</v>
      </c>
      <c r="B4" s="4">
        <v>3580420.55</v>
      </c>
      <c r="C4" s="5">
        <v>1340324.3400000001</v>
      </c>
    </row>
    <row r="5" spans="1:3" x14ac:dyDescent="0.15">
      <c r="A5" t="s">
        <v>67</v>
      </c>
      <c r="B5" s="4">
        <v>4883217.96</v>
      </c>
      <c r="C5" s="5">
        <v>1541061.48</v>
      </c>
    </row>
    <row r="6" spans="1:3" x14ac:dyDescent="0.15">
      <c r="A6" t="s">
        <v>68</v>
      </c>
      <c r="B6" s="4">
        <v>5136589.43</v>
      </c>
      <c r="C6" s="5">
        <v>2141138.69</v>
      </c>
    </row>
    <row r="7" spans="1:3" x14ac:dyDescent="0.15">
      <c r="A7" t="s">
        <v>69</v>
      </c>
      <c r="B7" s="4">
        <v>5076097.29</v>
      </c>
      <c r="C7" s="5">
        <v>1765909.85</v>
      </c>
    </row>
    <row r="8" spans="1:3" x14ac:dyDescent="0.15">
      <c r="A8" t="s">
        <v>70</v>
      </c>
      <c r="B8" s="4">
        <v>6674722.0899999999</v>
      </c>
      <c r="C8" s="5">
        <v>1775147.16</v>
      </c>
    </row>
    <row r="9" spans="1:3" x14ac:dyDescent="0.15">
      <c r="A9" t="s">
        <v>71</v>
      </c>
      <c r="B9" s="4">
        <v>4367131.47</v>
      </c>
      <c r="C9" s="5">
        <v>1270602.1400000001</v>
      </c>
    </row>
    <row r="10" spans="1:3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H12" sqref="H12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v>469512.04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3" sqref="F2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</f>
        <v>53095.83</v>
      </c>
    </row>
    <row r="19" spans="1:3" x14ac:dyDescent="0.15">
      <c r="A19" t="s">
        <v>77</v>
      </c>
      <c r="B19">
        <v>2025</v>
      </c>
      <c r="C19">
        <f>13636.01+1220.3</f>
        <v>14856.31</v>
      </c>
    </row>
    <row r="20" spans="1:3" x14ac:dyDescent="0.15">
      <c r="A20" t="s">
        <v>78</v>
      </c>
      <c r="B20">
        <v>2025</v>
      </c>
      <c r="C20">
        <f>20146+1580</f>
        <v>21726</v>
      </c>
    </row>
    <row r="21" spans="1:3" x14ac:dyDescent="0.15">
      <c r="A21" t="s">
        <v>79</v>
      </c>
      <c r="B21">
        <v>2025</v>
      </c>
      <c r="C21">
        <f>126864.8</f>
        <v>126864.8</v>
      </c>
    </row>
    <row r="22" spans="1:3" x14ac:dyDescent="0.15">
      <c r="A22" t="s">
        <v>80</v>
      </c>
      <c r="B22">
        <v>2025</v>
      </c>
      <c r="C22">
        <f>41004.1+3749.8</f>
        <v>44753.9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</f>
        <v>81490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</f>
        <v>70880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2025-11-02T04:22:31Z</dcterms:modified>
</cp:coreProperties>
</file>