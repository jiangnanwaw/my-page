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codeName="ThisWorkbook" defaultThemeVersion="124226"/>
  <bookViews>
    <workbookView xWindow="240" yWindow="105" windowWidth="14805" windowHeight="8010" tabRatio="601"/>
  </bookViews>
  <sheets>
    <sheet name="Sheet1" sheetId="1" r:id="rId1"/>
    <sheet name="Sheet2" sheetId="2" r:id="rId2"/>
  </sheets>
  <definedNames>
    <definedName name="_xlnm._FilterDatabase" localSheetId="0" hidden="1">Sheet1!$A$1:$J$53</definedName>
  </definedNames>
  <calcPr calcId="152511"/>
</workbook>
</file>

<file path=xl/calcChain.xml><?xml version="1.0" encoding="utf-8"?>
<calcChain xmlns="http://schemas.openxmlformats.org/spreadsheetml/2006/main">
  <c r="H205" i="1" l="1"/>
  <c r="G205" i="1"/>
  <c r="F205" i="1"/>
  <c r="E205" i="1"/>
  <c r="D205" i="1"/>
  <c r="C205" i="1"/>
  <c r="H204" i="1"/>
  <c r="G204" i="1"/>
  <c r="F204" i="1"/>
  <c r="E204" i="1"/>
  <c r="D204" i="1"/>
  <c r="C204" i="1"/>
  <c r="H203" i="1" l="1"/>
  <c r="G203" i="1"/>
  <c r="F203" i="1"/>
  <c r="E203" i="1"/>
  <c r="D203" i="1"/>
  <c r="C203" i="1"/>
  <c r="H202" i="1"/>
  <c r="G202" i="1"/>
  <c r="F202" i="1"/>
  <c r="E202" i="1"/>
  <c r="D202" i="1"/>
  <c r="C202" i="1"/>
  <c r="H201" i="1" l="1"/>
  <c r="G201" i="1"/>
  <c r="F201" i="1"/>
  <c r="E201" i="1"/>
  <c r="D201" i="1"/>
  <c r="C201" i="1"/>
  <c r="H200" i="1"/>
  <c r="G200" i="1"/>
  <c r="F200" i="1"/>
  <c r="E200" i="1"/>
  <c r="D200" i="1"/>
  <c r="C200" i="1"/>
  <c r="H199" i="1" l="1"/>
  <c r="G199" i="1"/>
  <c r="F199" i="1"/>
  <c r="E199" i="1"/>
  <c r="D199" i="1"/>
  <c r="C199" i="1"/>
  <c r="H198" i="1"/>
  <c r="G198" i="1"/>
  <c r="F198" i="1"/>
  <c r="E198" i="1"/>
  <c r="D198" i="1"/>
  <c r="C198" i="1"/>
  <c r="H197" i="1" l="1"/>
  <c r="G197" i="1"/>
  <c r="F197" i="1"/>
  <c r="E197" i="1"/>
  <c r="D197" i="1"/>
  <c r="C197" i="1"/>
  <c r="H196" i="1"/>
  <c r="G196" i="1"/>
  <c r="F196" i="1"/>
  <c r="E196" i="1"/>
  <c r="D196" i="1"/>
  <c r="C196" i="1"/>
  <c r="H195" i="1" l="1"/>
  <c r="G195" i="1"/>
  <c r="F195" i="1"/>
  <c r="E195" i="1"/>
  <c r="D195" i="1"/>
  <c r="C195" i="1"/>
  <c r="H194" i="1"/>
  <c r="G194" i="1"/>
  <c r="F194" i="1"/>
  <c r="E194" i="1"/>
  <c r="D194" i="1"/>
  <c r="C194" i="1"/>
  <c r="H193" i="1" l="1"/>
  <c r="G193" i="1"/>
  <c r="F193" i="1"/>
  <c r="E193" i="1"/>
  <c r="D193" i="1"/>
  <c r="C193" i="1"/>
  <c r="H192" i="1"/>
  <c r="G192" i="1"/>
  <c r="F192" i="1"/>
  <c r="E192" i="1"/>
  <c r="D192" i="1"/>
  <c r="C192" i="1"/>
  <c r="H191" i="1" l="1"/>
  <c r="G191" i="1"/>
  <c r="F191" i="1"/>
  <c r="E191" i="1"/>
  <c r="D191" i="1"/>
  <c r="C191" i="1"/>
  <c r="H190" i="1"/>
  <c r="G190" i="1"/>
  <c r="F190" i="1"/>
  <c r="E190" i="1"/>
  <c r="D190" i="1"/>
  <c r="C190" i="1"/>
  <c r="H189" i="1" l="1"/>
  <c r="G189" i="1"/>
  <c r="F189" i="1"/>
  <c r="E189" i="1"/>
  <c r="D189" i="1"/>
  <c r="C189" i="1"/>
  <c r="H188" i="1"/>
  <c r="G188" i="1"/>
  <c r="F188" i="1"/>
  <c r="E188" i="1"/>
  <c r="D188" i="1"/>
  <c r="C188" i="1"/>
  <c r="H187" i="1" l="1"/>
  <c r="G187" i="1"/>
  <c r="F187" i="1"/>
  <c r="E187" i="1"/>
  <c r="D187" i="1"/>
  <c r="C187" i="1"/>
  <c r="H186" i="1"/>
  <c r="G186" i="1"/>
  <c r="F186" i="1"/>
  <c r="E186" i="1"/>
  <c r="D186" i="1"/>
  <c r="C186" i="1"/>
  <c r="H185" i="1" l="1"/>
  <c r="G185" i="1"/>
  <c r="F185" i="1"/>
  <c r="E185" i="1"/>
  <c r="D185" i="1"/>
  <c r="C185" i="1"/>
  <c r="H184" i="1"/>
  <c r="G184" i="1"/>
  <c r="F184" i="1"/>
  <c r="E184" i="1"/>
  <c r="D184" i="1"/>
  <c r="C184" i="1"/>
  <c r="H183" i="1" l="1"/>
  <c r="G183" i="1"/>
  <c r="F183" i="1"/>
  <c r="E183" i="1"/>
  <c r="D183" i="1"/>
  <c r="C183" i="1"/>
  <c r="H182" i="1"/>
  <c r="G182" i="1"/>
  <c r="F182" i="1"/>
  <c r="E182" i="1"/>
  <c r="D182" i="1"/>
  <c r="C182" i="1"/>
  <c r="H181" i="1" l="1"/>
  <c r="G181" i="1"/>
  <c r="F181" i="1"/>
  <c r="E181" i="1"/>
  <c r="D181" i="1"/>
  <c r="C181" i="1"/>
  <c r="H180" i="1"/>
  <c r="G180" i="1"/>
  <c r="F180" i="1"/>
  <c r="E180" i="1"/>
  <c r="D180" i="1"/>
  <c r="C180" i="1"/>
  <c r="H179" i="1" l="1"/>
  <c r="G179" i="1"/>
  <c r="F179" i="1"/>
  <c r="E179" i="1"/>
  <c r="D179" i="1"/>
  <c r="C179" i="1"/>
  <c r="H178" i="1"/>
  <c r="G178" i="1"/>
  <c r="F178" i="1"/>
  <c r="E178" i="1"/>
  <c r="D178" i="1"/>
  <c r="C178" i="1"/>
  <c r="H177" i="1" l="1"/>
  <c r="C177" i="1"/>
  <c r="G177" i="1"/>
  <c r="F177" i="1"/>
  <c r="E177" i="1"/>
  <c r="D177" i="1"/>
  <c r="H176" i="1"/>
  <c r="G176" i="1"/>
  <c r="F176" i="1"/>
  <c r="E176" i="1"/>
  <c r="D176" i="1"/>
  <c r="C176" i="1"/>
  <c r="H175" i="1" l="1"/>
  <c r="C175" i="1"/>
  <c r="G175" i="1"/>
  <c r="F175" i="1"/>
  <c r="E175" i="1"/>
  <c r="D175" i="1"/>
  <c r="H174" i="1"/>
  <c r="G174" i="1"/>
  <c r="F174" i="1"/>
  <c r="E174" i="1"/>
  <c r="D174" i="1"/>
  <c r="C174" i="1"/>
  <c r="H173" i="1" l="1"/>
  <c r="G173" i="1"/>
  <c r="F173" i="1"/>
  <c r="E173" i="1"/>
  <c r="D173" i="1"/>
  <c r="C173" i="1"/>
  <c r="H172" i="1"/>
  <c r="G172" i="1"/>
  <c r="F172" i="1"/>
  <c r="E172" i="1"/>
  <c r="D172" i="1"/>
  <c r="C172" i="1"/>
  <c r="H167" i="1" l="1"/>
  <c r="G167" i="1"/>
  <c r="F167" i="1"/>
  <c r="E167" i="1"/>
  <c r="D167" i="1"/>
  <c r="C167" i="1"/>
  <c r="H169" i="1"/>
  <c r="G169" i="1"/>
  <c r="F169" i="1"/>
  <c r="E169" i="1"/>
  <c r="D169" i="1"/>
  <c r="C169" i="1"/>
  <c r="H171" i="1"/>
  <c r="G171" i="1"/>
  <c r="F171" i="1"/>
  <c r="E171" i="1"/>
  <c r="D171" i="1"/>
  <c r="C171" i="1"/>
  <c r="H170" i="1"/>
  <c r="G170" i="1"/>
  <c r="F170" i="1"/>
  <c r="E170" i="1"/>
  <c r="D170" i="1"/>
  <c r="C170" i="1"/>
  <c r="H168" i="1"/>
  <c r="G168" i="1"/>
  <c r="F168" i="1"/>
  <c r="E168" i="1"/>
  <c r="D168" i="1"/>
  <c r="C168" i="1"/>
  <c r="H166" i="1"/>
  <c r="G166" i="1"/>
  <c r="F166" i="1"/>
  <c r="E166" i="1"/>
  <c r="D166" i="1"/>
  <c r="C166" i="1"/>
  <c r="H165" i="1" l="1"/>
  <c r="G165" i="1"/>
  <c r="F165" i="1"/>
  <c r="E165" i="1"/>
  <c r="D165" i="1"/>
  <c r="C165" i="1"/>
  <c r="H164" i="1"/>
  <c r="G164" i="1"/>
  <c r="F164" i="1"/>
  <c r="E164" i="1"/>
  <c r="D164" i="1"/>
  <c r="C164" i="1"/>
  <c r="H163" i="1" l="1"/>
  <c r="G163" i="1"/>
  <c r="F163" i="1"/>
  <c r="E163" i="1"/>
  <c r="D163" i="1"/>
  <c r="C163" i="1"/>
  <c r="H162" i="1"/>
  <c r="G162" i="1"/>
  <c r="F162" i="1"/>
  <c r="E162" i="1"/>
  <c r="D162" i="1"/>
  <c r="C162" i="1"/>
  <c r="H161" i="1" l="1"/>
  <c r="G161" i="1"/>
  <c r="F161" i="1"/>
  <c r="E161" i="1"/>
  <c r="D161" i="1"/>
  <c r="C161" i="1"/>
  <c r="H160" i="1"/>
  <c r="G160" i="1"/>
  <c r="F160" i="1"/>
  <c r="E160" i="1"/>
  <c r="D160" i="1"/>
  <c r="C160" i="1"/>
  <c r="H159" i="1" l="1"/>
  <c r="G159" i="1"/>
  <c r="F159" i="1"/>
  <c r="E159" i="1"/>
  <c r="D159" i="1"/>
  <c r="C159" i="1"/>
  <c r="G156" i="1"/>
  <c r="G158" i="1"/>
  <c r="H158" i="1"/>
  <c r="F158" i="1"/>
  <c r="E158" i="1"/>
  <c r="D158" i="1"/>
  <c r="C158" i="1"/>
  <c r="H157" i="1" l="1"/>
  <c r="G157" i="1"/>
  <c r="F157" i="1"/>
  <c r="E157" i="1"/>
  <c r="C157" i="1"/>
  <c r="D157" i="1" s="1"/>
  <c r="H156" i="1"/>
  <c r="F156" i="1"/>
  <c r="E156" i="1"/>
  <c r="D156" i="1"/>
  <c r="C156" i="1"/>
  <c r="H155" i="1" l="1"/>
  <c r="G155" i="1"/>
  <c r="F155" i="1"/>
  <c r="E155" i="1"/>
  <c r="C155" i="1"/>
  <c r="D155" i="1" s="1"/>
  <c r="H154" i="1"/>
  <c r="G154" i="1"/>
  <c r="F154" i="1"/>
  <c r="E154" i="1"/>
  <c r="D154" i="1"/>
  <c r="C154" i="1"/>
  <c r="H153" i="1" l="1"/>
  <c r="G153" i="1"/>
  <c r="F153" i="1"/>
  <c r="E153" i="1"/>
  <c r="C153" i="1"/>
  <c r="D153" i="1" s="1"/>
  <c r="H152" i="1"/>
  <c r="G152" i="1"/>
  <c r="F152" i="1"/>
  <c r="E152" i="1"/>
  <c r="D152" i="1"/>
  <c r="C152" i="1"/>
  <c r="H151" i="1" l="1"/>
  <c r="G151" i="1"/>
  <c r="F151" i="1"/>
  <c r="E151" i="1"/>
  <c r="C151" i="1"/>
  <c r="D151" i="1" s="1"/>
  <c r="H150" i="1"/>
  <c r="G150" i="1"/>
  <c r="F150" i="1"/>
  <c r="E150" i="1"/>
  <c r="C150" i="1"/>
  <c r="D150" i="1" s="1"/>
  <c r="H149" i="1" l="1"/>
  <c r="G149" i="1"/>
  <c r="F149" i="1"/>
  <c r="E149" i="1"/>
  <c r="D149" i="1"/>
  <c r="C149" i="1"/>
  <c r="H148" i="1"/>
  <c r="G148" i="1"/>
  <c r="F148" i="1"/>
  <c r="E148" i="1"/>
  <c r="C148" i="1"/>
  <c r="D148" i="1" s="1"/>
  <c r="H147" i="1" l="1"/>
  <c r="G147" i="1"/>
  <c r="F147" i="1"/>
  <c r="E147" i="1"/>
  <c r="C147" i="1"/>
  <c r="D147" i="1" s="1"/>
  <c r="H146" i="1"/>
  <c r="G146" i="1"/>
  <c r="F146" i="1"/>
  <c r="E146" i="1"/>
  <c r="D146" i="1"/>
  <c r="C146" i="1"/>
  <c r="H145" i="1" l="1"/>
  <c r="G145" i="1"/>
  <c r="F145" i="1"/>
  <c r="E145" i="1"/>
  <c r="D145" i="1"/>
  <c r="C145" i="1"/>
  <c r="H144" i="1"/>
  <c r="G144" i="1"/>
  <c r="F144" i="1"/>
  <c r="E144" i="1"/>
  <c r="C144" i="1"/>
  <c r="D144" i="1" s="1"/>
  <c r="H143" i="1" l="1"/>
  <c r="G143" i="1"/>
  <c r="F143" i="1"/>
  <c r="E143" i="1"/>
  <c r="C143" i="1"/>
  <c r="D143" i="1" s="1"/>
  <c r="H142" i="1"/>
  <c r="G142" i="1"/>
  <c r="F142" i="1"/>
  <c r="E142" i="1"/>
  <c r="C142" i="1"/>
  <c r="D142" i="1" s="1"/>
  <c r="H141" i="1" l="1"/>
  <c r="G141" i="1"/>
  <c r="F141" i="1"/>
  <c r="E141" i="1"/>
  <c r="C141" i="1"/>
  <c r="D141" i="1" s="1"/>
  <c r="H140" i="1"/>
  <c r="G140" i="1"/>
  <c r="F140" i="1"/>
  <c r="E140" i="1"/>
  <c r="C140" i="1"/>
  <c r="D140" i="1" s="1"/>
  <c r="G137" i="1" l="1"/>
  <c r="G139" i="1"/>
  <c r="H139" i="1"/>
  <c r="F139" i="1"/>
  <c r="E139" i="1"/>
  <c r="C139" i="1"/>
  <c r="D139" i="1" s="1"/>
  <c r="H138" i="1"/>
  <c r="G138" i="1"/>
  <c r="F138" i="1"/>
  <c r="E138" i="1"/>
  <c r="D138" i="1"/>
  <c r="C138" i="1"/>
  <c r="H137" i="1" l="1"/>
  <c r="F137" i="1"/>
  <c r="E137" i="1"/>
  <c r="D137" i="1"/>
  <c r="C137" i="1"/>
  <c r="H136" i="1"/>
  <c r="G136" i="1"/>
  <c r="F136" i="1"/>
  <c r="E136" i="1"/>
  <c r="C136" i="1"/>
  <c r="D136" i="1" s="1"/>
  <c r="H135" i="1" l="1"/>
  <c r="G135" i="1"/>
  <c r="F135" i="1"/>
  <c r="E133" i="1"/>
  <c r="E135" i="1"/>
  <c r="D135" i="1"/>
  <c r="C135" i="1"/>
  <c r="H134" i="1"/>
  <c r="G134" i="1"/>
  <c r="F134" i="1"/>
  <c r="E134" i="1"/>
  <c r="D134" i="1"/>
  <c r="C134" i="1"/>
  <c r="H133" i="1" l="1"/>
  <c r="G133" i="1"/>
  <c r="F133" i="1"/>
  <c r="D133" i="1"/>
  <c r="C133" i="1"/>
  <c r="H132" i="1"/>
  <c r="G132" i="1"/>
  <c r="F132" i="1"/>
  <c r="E132" i="1"/>
  <c r="C132" i="1"/>
  <c r="D132" i="1" s="1"/>
  <c r="H131" i="1" l="1"/>
  <c r="G131" i="1"/>
  <c r="F131" i="1"/>
  <c r="E131" i="1"/>
  <c r="C131" i="1"/>
  <c r="D131" i="1" s="1"/>
  <c r="C124" i="1"/>
  <c r="H130" i="1"/>
  <c r="G130" i="1"/>
  <c r="F130" i="1"/>
  <c r="E130" i="1"/>
  <c r="D130" i="1"/>
  <c r="C130" i="1"/>
  <c r="H129" i="1" l="1"/>
  <c r="G129" i="1"/>
  <c r="F129" i="1"/>
  <c r="E129" i="1"/>
  <c r="C129" i="1"/>
  <c r="D129" i="1" s="1"/>
  <c r="H128" i="1"/>
  <c r="G128" i="1"/>
  <c r="F128" i="1"/>
  <c r="E128" i="1"/>
  <c r="C128" i="1"/>
  <c r="D128" i="1" s="1"/>
  <c r="H127" i="1" l="1"/>
  <c r="G127" i="1"/>
  <c r="F127" i="1"/>
  <c r="E127" i="1"/>
  <c r="C127" i="1"/>
  <c r="D127" i="1" s="1"/>
  <c r="H126" i="1"/>
  <c r="C126" i="1"/>
  <c r="D126" i="1" s="1"/>
  <c r="G126" i="1"/>
  <c r="F126" i="1"/>
  <c r="E126" i="1"/>
  <c r="H125" i="1" l="1"/>
  <c r="G125" i="1"/>
  <c r="F125" i="1"/>
  <c r="E125" i="1"/>
  <c r="C125" i="1"/>
  <c r="D125" i="1" s="1"/>
  <c r="H124" i="1"/>
  <c r="G124" i="1"/>
  <c r="F124" i="1"/>
  <c r="E124" i="1"/>
  <c r="D124" i="1"/>
  <c r="H123" i="1" l="1"/>
  <c r="G123" i="1"/>
  <c r="F123" i="1"/>
  <c r="E123" i="1"/>
  <c r="C123" i="1"/>
  <c r="D123" i="1" s="1"/>
  <c r="H122" i="1"/>
  <c r="G122" i="1"/>
  <c r="F122" i="1"/>
  <c r="E122" i="1"/>
  <c r="C122" i="1"/>
  <c r="D122" i="1" s="1"/>
  <c r="H121" i="1" l="1"/>
  <c r="G121" i="1"/>
  <c r="F121" i="1"/>
  <c r="E121" i="1"/>
  <c r="C121" i="1"/>
  <c r="D121" i="1" s="1"/>
  <c r="H120" i="1"/>
  <c r="G120" i="1"/>
  <c r="F120" i="1"/>
  <c r="E120" i="1"/>
  <c r="C120" i="1"/>
  <c r="D120" i="1" s="1"/>
  <c r="H119" i="1" l="1"/>
  <c r="G119" i="1"/>
  <c r="F119" i="1"/>
  <c r="E119" i="1"/>
  <c r="C119" i="1"/>
  <c r="D119" i="1" s="1"/>
  <c r="H118" i="1"/>
  <c r="G118" i="1"/>
  <c r="F118" i="1"/>
  <c r="E118" i="1"/>
  <c r="C118" i="1"/>
  <c r="D118" i="1" s="1"/>
  <c r="H117" i="1" l="1"/>
  <c r="G117" i="1"/>
  <c r="F117" i="1"/>
  <c r="E117" i="1"/>
  <c r="C117" i="1"/>
  <c r="D117" i="1" s="1"/>
  <c r="H116" i="1"/>
  <c r="G116" i="1"/>
  <c r="F116" i="1"/>
  <c r="E116" i="1"/>
  <c r="C116" i="1"/>
  <c r="D116" i="1" s="1"/>
  <c r="H115" i="1" l="1"/>
  <c r="G115" i="1"/>
  <c r="F115" i="1"/>
  <c r="E115" i="1"/>
  <c r="C115" i="1"/>
  <c r="D115" i="1" s="1"/>
  <c r="H114" i="1"/>
  <c r="G114" i="1"/>
  <c r="F114" i="1"/>
  <c r="E114" i="1"/>
  <c r="C114" i="1"/>
  <c r="D114" i="1" s="1"/>
  <c r="H113" i="1" l="1"/>
  <c r="G113" i="1"/>
  <c r="F113" i="1"/>
  <c r="E113" i="1"/>
  <c r="C113" i="1"/>
  <c r="D113" i="1" s="1"/>
  <c r="H112" i="1"/>
  <c r="G112" i="1"/>
  <c r="F112" i="1"/>
  <c r="E112" i="1"/>
  <c r="C112" i="1"/>
  <c r="D112" i="1" s="1"/>
  <c r="H111" i="1" l="1"/>
  <c r="G111" i="1"/>
  <c r="E111" i="1"/>
  <c r="F111" i="1"/>
  <c r="C111" i="1"/>
  <c r="D111" i="1" s="1"/>
  <c r="H110" i="1"/>
  <c r="G110" i="1"/>
  <c r="F110" i="1"/>
  <c r="E110" i="1"/>
  <c r="C110" i="1"/>
  <c r="D110" i="1" s="1"/>
  <c r="H109" i="1" l="1"/>
  <c r="G109" i="1"/>
  <c r="F109" i="1"/>
  <c r="E109" i="1"/>
  <c r="C109" i="1"/>
  <c r="D109" i="1" s="1"/>
  <c r="H108" i="1"/>
  <c r="G108" i="1"/>
  <c r="F108" i="1"/>
  <c r="E108" i="1"/>
  <c r="C108" i="1"/>
  <c r="D108" i="1" s="1"/>
  <c r="C107" i="1" l="1"/>
  <c r="C105" i="1"/>
  <c r="H107" i="1"/>
  <c r="G107" i="1"/>
  <c r="F107" i="1"/>
  <c r="E107" i="1"/>
  <c r="D107" i="1"/>
  <c r="H105" i="1"/>
  <c r="E105" i="1"/>
  <c r="H106" i="1"/>
  <c r="G106" i="1"/>
  <c r="F106" i="1"/>
  <c r="E106" i="1"/>
  <c r="C106" i="1"/>
  <c r="D106" i="1" s="1"/>
  <c r="G105" i="1" l="1"/>
  <c r="F105" i="1"/>
  <c r="D105" i="1"/>
  <c r="H104" i="1"/>
  <c r="G104" i="1"/>
  <c r="F104" i="1"/>
  <c r="E104" i="1"/>
  <c r="D104" i="1"/>
  <c r="C104" i="1"/>
  <c r="G99" i="1" l="1"/>
  <c r="G103" i="1"/>
  <c r="H103" i="1"/>
  <c r="F103" i="1"/>
  <c r="E103" i="1"/>
  <c r="C103" i="1"/>
  <c r="D103" i="1" s="1"/>
  <c r="H102" i="1"/>
  <c r="G102" i="1"/>
  <c r="F102" i="1"/>
  <c r="E102" i="1"/>
  <c r="D102" i="1"/>
  <c r="C102" i="1"/>
  <c r="H101" i="1" l="1"/>
  <c r="G101" i="1"/>
  <c r="F101" i="1"/>
  <c r="E101" i="1"/>
  <c r="C101" i="1"/>
  <c r="D101" i="1" s="1"/>
  <c r="H100" i="1"/>
  <c r="G100" i="1"/>
  <c r="F100" i="1"/>
  <c r="E100" i="1"/>
  <c r="C100" i="1"/>
  <c r="D100" i="1" s="1"/>
  <c r="H99" i="1" l="1"/>
  <c r="F99" i="1"/>
  <c r="E99" i="1"/>
  <c r="D99" i="1"/>
  <c r="C97" i="1"/>
  <c r="C99" i="1"/>
  <c r="H98" i="1"/>
  <c r="G98" i="1"/>
  <c r="F98" i="1"/>
  <c r="E98" i="1"/>
  <c r="C98" i="1"/>
  <c r="D98" i="1" s="1"/>
  <c r="H97" i="1" l="1"/>
  <c r="G97" i="1"/>
  <c r="F97" i="1"/>
  <c r="E97" i="1"/>
  <c r="D97" i="1"/>
  <c r="H96" i="1"/>
  <c r="G96" i="1"/>
  <c r="F96" i="1"/>
  <c r="E96" i="1"/>
  <c r="C96" i="1"/>
  <c r="D96" i="1" s="1"/>
  <c r="H95" i="1" l="1"/>
  <c r="G95" i="1"/>
  <c r="F95" i="1"/>
  <c r="E95" i="1"/>
  <c r="C95" i="1"/>
  <c r="D95" i="1" s="1"/>
  <c r="H94" i="1"/>
  <c r="G94" i="1"/>
  <c r="F94" i="1"/>
  <c r="E94" i="1"/>
  <c r="C94" i="1"/>
  <c r="D94" i="1" s="1"/>
  <c r="H93" i="1" l="1"/>
  <c r="G93" i="1"/>
  <c r="F93" i="1"/>
  <c r="E93" i="1"/>
  <c r="C93" i="1"/>
  <c r="D93" i="1" s="1"/>
  <c r="H92" i="1"/>
  <c r="G92" i="1"/>
  <c r="F92" i="1"/>
  <c r="E92" i="1"/>
  <c r="D92" i="1"/>
  <c r="C92" i="1"/>
  <c r="H91" i="1" l="1"/>
  <c r="G91" i="1"/>
  <c r="F91" i="1"/>
  <c r="E91" i="1"/>
  <c r="C91" i="1"/>
  <c r="D91" i="1" s="1"/>
  <c r="H90" i="1"/>
  <c r="G90" i="1"/>
  <c r="F90" i="1"/>
  <c r="E90" i="1"/>
  <c r="C90" i="1"/>
  <c r="D90" i="1" s="1"/>
  <c r="H89" i="1" l="1"/>
  <c r="G89" i="1"/>
  <c r="F89" i="1"/>
  <c r="E89" i="1"/>
  <c r="C89" i="1"/>
  <c r="D89" i="1" s="1"/>
  <c r="H88" i="1"/>
  <c r="G88" i="1"/>
  <c r="F88" i="1"/>
  <c r="E88" i="1"/>
  <c r="C88" i="1"/>
  <c r="D88" i="1" s="1"/>
  <c r="H86" i="1" l="1"/>
  <c r="G86" i="1"/>
  <c r="F86" i="1"/>
  <c r="E86" i="1"/>
  <c r="C86" i="1"/>
  <c r="D86" i="1" s="1"/>
  <c r="H87" i="1"/>
  <c r="G87" i="1"/>
  <c r="F87" i="1"/>
  <c r="E87" i="1"/>
  <c r="C87" i="1"/>
  <c r="D87" i="1" s="1"/>
  <c r="G84" i="1" l="1"/>
  <c r="H84" i="1"/>
  <c r="F84" i="1"/>
  <c r="E84" i="1"/>
  <c r="C84" i="1"/>
  <c r="D84" i="1" s="1"/>
  <c r="H85" i="1"/>
  <c r="E85" i="1"/>
  <c r="G85" i="1"/>
  <c r="F85" i="1"/>
  <c r="C85" i="1"/>
  <c r="D85" i="1" s="1"/>
  <c r="G82" i="1" l="1"/>
  <c r="F82" i="1"/>
  <c r="E82" i="1"/>
  <c r="D82" i="1"/>
  <c r="C82" i="1"/>
  <c r="H83" i="1"/>
  <c r="G83" i="1"/>
  <c r="F83" i="1"/>
  <c r="E83" i="1"/>
  <c r="C83" i="1"/>
  <c r="D83" i="1" s="1"/>
  <c r="H81" i="1" l="1"/>
  <c r="G81" i="1"/>
  <c r="F81" i="1"/>
  <c r="E81" i="1"/>
  <c r="C81" i="1"/>
  <c r="D81" i="1" s="1"/>
  <c r="H80" i="1"/>
  <c r="G80" i="1"/>
  <c r="F80" i="1"/>
  <c r="E80" i="1"/>
  <c r="D80" i="1"/>
  <c r="C80" i="1"/>
  <c r="H78" i="1"/>
  <c r="G78" i="1"/>
  <c r="F78" i="1"/>
  <c r="E78" i="1"/>
  <c r="C78" i="1"/>
  <c r="D78" i="1" s="1"/>
  <c r="H79" i="1"/>
  <c r="G79" i="1"/>
  <c r="F79" i="1"/>
  <c r="E79" i="1"/>
  <c r="D79" i="1"/>
  <c r="C79" i="1"/>
  <c r="H77" i="1" l="1"/>
  <c r="G77" i="1"/>
  <c r="F77" i="1"/>
  <c r="E77" i="1"/>
  <c r="C77" i="1"/>
  <c r="D77" i="1" s="1"/>
  <c r="H76" i="1"/>
  <c r="G76" i="1"/>
  <c r="F76" i="1"/>
  <c r="E76" i="1"/>
  <c r="C76" i="1"/>
  <c r="D76" i="1" s="1"/>
  <c r="C74" i="1" l="1"/>
  <c r="G74" i="1"/>
  <c r="F74" i="1"/>
  <c r="E74" i="1"/>
  <c r="D74" i="1"/>
  <c r="H75" i="1"/>
  <c r="G75" i="1"/>
  <c r="F75" i="1"/>
  <c r="E75" i="1"/>
  <c r="C75" i="1"/>
  <c r="D75" i="1" s="1"/>
  <c r="H72" i="1" l="1"/>
  <c r="G72" i="1"/>
  <c r="F72" i="1"/>
  <c r="E72" i="1"/>
  <c r="C72" i="1"/>
  <c r="D72" i="1" s="1"/>
  <c r="H73" i="1"/>
  <c r="G73" i="1"/>
  <c r="F73" i="1"/>
  <c r="E73" i="1"/>
  <c r="C73" i="1"/>
  <c r="D73" i="1" s="1"/>
  <c r="H71" i="1" l="1"/>
  <c r="G71" i="1"/>
  <c r="F71" i="1"/>
  <c r="E71" i="1"/>
  <c r="D70" i="1"/>
  <c r="C71" i="1"/>
  <c r="D71" i="1" s="1"/>
  <c r="H70" i="1"/>
  <c r="G70" i="1"/>
  <c r="F70" i="1"/>
  <c r="E70" i="1"/>
  <c r="C70" i="1"/>
  <c r="H69" i="1" l="1"/>
  <c r="G69" i="1"/>
  <c r="F69" i="1"/>
  <c r="E69" i="1"/>
  <c r="C69" i="1"/>
  <c r="D69" i="1" s="1"/>
  <c r="H68" i="1"/>
  <c r="G68" i="1"/>
  <c r="F68" i="1"/>
  <c r="E68" i="1"/>
  <c r="C68" i="1"/>
  <c r="D68" i="1" s="1"/>
  <c r="H66" i="1" l="1"/>
  <c r="G66" i="1"/>
  <c r="F66" i="1"/>
  <c r="E66" i="1"/>
  <c r="C64" i="1"/>
  <c r="C65" i="1"/>
  <c r="C66" i="1"/>
  <c r="D66" i="1" s="1"/>
  <c r="H67" i="1"/>
  <c r="G67" i="1"/>
  <c r="F67" i="1"/>
  <c r="E67" i="1"/>
  <c r="C67" i="1"/>
  <c r="D67" i="1" s="1"/>
  <c r="H65" i="1" l="1"/>
  <c r="G65" i="1"/>
  <c r="F65" i="1"/>
  <c r="E65" i="1"/>
  <c r="D65" i="1"/>
  <c r="H64" i="1"/>
  <c r="G64" i="1"/>
  <c r="F64" i="1"/>
  <c r="E64" i="1"/>
  <c r="D64" i="1"/>
  <c r="C62" i="1"/>
  <c r="H63" i="1" l="1"/>
  <c r="G63" i="1"/>
  <c r="F63" i="1"/>
  <c r="E63" i="1"/>
  <c r="C63" i="1"/>
  <c r="D63" i="1" s="1"/>
  <c r="H62" i="1"/>
  <c r="G62" i="1"/>
  <c r="G61" i="1"/>
  <c r="F62" i="1"/>
  <c r="E62" i="1"/>
  <c r="D62" i="1"/>
  <c r="C61" i="1"/>
  <c r="H61" i="1" l="1"/>
  <c r="H60" i="1"/>
  <c r="F61" i="1"/>
  <c r="E61" i="1"/>
  <c r="D61" i="1"/>
  <c r="G60" i="1"/>
  <c r="G58" i="1"/>
  <c r="F60" i="1"/>
  <c r="E60" i="1"/>
  <c r="C60" i="1"/>
  <c r="D60" i="1" s="1"/>
  <c r="C58" i="1"/>
  <c r="H58" i="1" l="1"/>
  <c r="F58" i="1"/>
  <c r="E58" i="1"/>
  <c r="D58" i="1"/>
  <c r="C57" i="1"/>
  <c r="E57" i="1"/>
  <c r="G59" i="1"/>
  <c r="G57" i="1"/>
  <c r="H59" i="1"/>
  <c r="F59" i="1"/>
  <c r="E59" i="1"/>
  <c r="E56" i="1"/>
  <c r="C59" i="1"/>
  <c r="D59" i="1" s="1"/>
  <c r="H57" i="1" l="1"/>
  <c r="G56" i="1"/>
  <c r="F57" i="1"/>
  <c r="F56" i="1"/>
  <c r="D57" i="1"/>
  <c r="H56" i="1"/>
  <c r="C56" i="1"/>
  <c r="D56" i="1" s="1"/>
</calcChain>
</file>

<file path=xl/sharedStrings.xml><?xml version="1.0" encoding="utf-8"?>
<sst xmlns="http://schemas.openxmlformats.org/spreadsheetml/2006/main" count="235" uniqueCount="28">
  <si>
    <t>日期</t>
    <phoneticPr fontId="1" type="noConversion"/>
  </si>
  <si>
    <t>站点</t>
    <phoneticPr fontId="1" type="noConversion"/>
  </si>
  <si>
    <t>四方坪站</t>
  </si>
  <si>
    <t>高岭站</t>
  </si>
  <si>
    <t>终端日均利用率</t>
    <phoneticPr fontId="1" type="noConversion"/>
  </si>
  <si>
    <t>终端日均充电时长(分钟)</t>
    <phoneticPr fontId="1" type="noConversion"/>
  </si>
  <si>
    <t>终端日均充电电量(kwh)</t>
    <phoneticPr fontId="1" type="noConversion"/>
  </si>
  <si>
    <t>终端日均充电收益(元)</t>
    <phoneticPr fontId="1" type="noConversion"/>
  </si>
  <si>
    <t>平均每小时充电功率(kw)</t>
    <phoneticPr fontId="1" type="noConversion"/>
  </si>
  <si>
    <t>单枪日均充电次数</t>
    <phoneticPr fontId="1" type="noConversion"/>
  </si>
  <si>
    <t>站点名称</t>
    <phoneticPr fontId="1" type="noConversion"/>
  </si>
  <si>
    <t>地址</t>
    <phoneticPr fontId="1" type="noConversion"/>
  </si>
  <si>
    <t>在线状态</t>
    <phoneticPr fontId="1" type="noConversion"/>
  </si>
  <si>
    <t>长沙飞狐四方坪东区充电站</t>
    <phoneticPr fontId="1" type="noConversion"/>
  </si>
  <si>
    <t>长沙飞狐四方坪西区充电站</t>
    <phoneticPr fontId="1" type="noConversion"/>
  </si>
  <si>
    <t>长沙飞狐四方坪南区充电站</t>
    <phoneticPr fontId="1" type="noConversion"/>
  </si>
  <si>
    <t>长沙飞狐高岭充电站</t>
    <phoneticPr fontId="1" type="noConversion"/>
  </si>
  <si>
    <t>开福区四方坪东二环立交桥下</t>
    <phoneticPr fontId="1" type="noConversion"/>
  </si>
  <si>
    <t>开福区高岭国际商贸城</t>
    <phoneticPr fontId="1" type="noConversion"/>
  </si>
  <si>
    <t>在线</t>
    <phoneticPr fontId="1" type="noConversion"/>
  </si>
  <si>
    <t>道闸收入(元）</t>
    <phoneticPr fontId="1" type="noConversion"/>
  </si>
  <si>
    <t>月卡收入(元）</t>
    <phoneticPr fontId="1" type="noConversion"/>
  </si>
  <si>
    <t>终端总数</t>
    <phoneticPr fontId="1" type="noConversion"/>
  </si>
  <si>
    <t>额定总功率(kw)</t>
    <phoneticPr fontId="1" type="noConversion"/>
  </si>
  <si>
    <t>充电量(kwh)</t>
    <phoneticPr fontId="1" type="noConversion"/>
  </si>
  <si>
    <t>充电总收入(元）</t>
    <phoneticPr fontId="1" type="noConversion"/>
  </si>
  <si>
    <t>充电服务费收入(元）</t>
    <phoneticPr fontId="1" type="noConversion"/>
  </si>
  <si>
    <t>小计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</si>
</sst>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[$-F800]dddd\,\ mmmm\ dd\,\ yyyy"/>
    <numFmt numFmtId="177" formatCode="0.00_ "/>
    <numFmt numFmtId="178" formatCode="0.00_);[Red]\(0.00\)"/>
  </numFmts>
  <fonts count="2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176" fontId="0" fillId="0" borderId="0" xfId="0" applyNumberFormat="1"/>
    <xf numFmtId="177" fontId="0" fillId="0" borderId="0" xfId="0" applyNumberFormat="1" applyFont="1" applyFill="1" applyBorder="1" applyAlignment="1" applyProtection="1"/>
    <xf numFmtId="10" fontId="0" fillId="0" borderId="0" xfId="0" applyNumberFormat="1" applyFont="1" applyFill="1" applyBorder="1" applyAlignment="1" applyProtection="1"/>
    <xf numFmtId="10" fontId="0" fillId="0" borderId="0" xfId="0" applyNumberFormat="1"/>
    <xf numFmtId="178" fontId="0" fillId="0" borderId="0" xfId="0" applyNumberFormat="1"/>
    <xf numFmtId="178" fontId="0" fillId="0" borderId="0" xfId="0" applyNumberFormat="1" applyFont="1" applyFill="1" applyBorder="1" applyAlignment="1" applyProtection="1"/>
    <xf numFmtId="178" fontId="0" fillId="0" borderId="0" xfId="0" applyNumberFormat="1" applyAlignment="1">
      <alignment wrapText="1"/>
    </xf>
    <xf numFmtId="0" fontId="0" fillId="0" borderId="1" xfId="0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O205"/>
  <sheetViews>
    <sheetView tabSelected="1" topLeftCell="A201" workbookViewId="0">
      <selection activeCell="I206" sqref="I206"/>
    </sheetView>
  </sheetViews>
  <sheetFormatPr defaultRowHeight="13.5" x14ac:dyDescent="0.15"/>
  <cols>
    <col min="1" max="1" width="12.5" style="1" customWidth="1"/>
    <col min="3" max="3" width="22.5" style="5" customWidth="1"/>
    <col min="4" max="4" width="16.75" style="4" customWidth="1"/>
    <col min="5" max="5" width="22.5" style="5" customWidth="1"/>
    <col min="6" max="6" width="24.125" style="5" customWidth="1"/>
    <col min="7" max="7" width="24.375" style="5" customWidth="1"/>
    <col min="8" max="8" width="25.125" style="5" customWidth="1"/>
    <col min="9" max="9" width="11.5" customWidth="1"/>
    <col min="10" max="10" width="12.875" customWidth="1"/>
    <col min="12" max="12" width="10.625" customWidth="1"/>
  </cols>
  <sheetData>
    <row r="1" spans="1:15" x14ac:dyDescent="0.15">
      <c r="A1" s="1" t="s">
        <v>0</v>
      </c>
      <c r="B1" t="s">
        <v>1</v>
      </c>
      <c r="C1" s="5" t="s">
        <v>5</v>
      </c>
      <c r="D1" s="4" t="s">
        <v>4</v>
      </c>
      <c r="E1" s="5" t="s">
        <v>6</v>
      </c>
      <c r="F1" s="5" t="s">
        <v>7</v>
      </c>
      <c r="G1" s="5" t="s">
        <v>8</v>
      </c>
      <c r="H1" s="7" t="s">
        <v>9</v>
      </c>
      <c r="I1" s="2"/>
      <c r="J1" s="2"/>
      <c r="K1" s="2"/>
      <c r="L1" s="2"/>
      <c r="M1" s="2"/>
      <c r="N1" s="2"/>
      <c r="O1" s="2"/>
    </row>
    <row r="2" spans="1:15" x14ac:dyDescent="0.15">
      <c r="A2" s="1">
        <v>45901</v>
      </c>
      <c r="B2" t="s">
        <v>2</v>
      </c>
      <c r="C2" s="5">
        <v>156.39370078740157</v>
      </c>
      <c r="D2" s="3">
        <v>0.10860673665791776</v>
      </c>
      <c r="E2" s="5">
        <v>91.854921259842556</v>
      </c>
      <c r="F2" s="5">
        <v>31.875748031496052</v>
      </c>
      <c r="G2" s="6">
        <v>35.239880173195054</v>
      </c>
      <c r="H2" s="6">
        <v>3.6692913385826773</v>
      </c>
      <c r="I2" s="2"/>
      <c r="J2" s="2"/>
      <c r="K2" s="2"/>
      <c r="L2" s="2"/>
      <c r="M2" s="2"/>
      <c r="N2" s="2"/>
      <c r="O2" s="2"/>
    </row>
    <row r="3" spans="1:15" x14ac:dyDescent="0.15">
      <c r="A3" s="1">
        <v>45901</v>
      </c>
      <c r="B3" t="s">
        <v>3</v>
      </c>
      <c r="C3" s="5">
        <v>181.25</v>
      </c>
      <c r="D3" s="3">
        <v>0.12586805555555555</v>
      </c>
      <c r="E3" s="5">
        <v>132.98933333333338</v>
      </c>
      <c r="F3" s="5">
        <v>33.275555555555542</v>
      </c>
      <c r="G3" s="6">
        <v>44.02405517241381</v>
      </c>
      <c r="H3" s="6">
        <v>4.5555555555555554</v>
      </c>
      <c r="I3" s="2"/>
      <c r="J3" s="2"/>
      <c r="K3" s="2"/>
      <c r="L3" s="2"/>
      <c r="M3" s="2"/>
      <c r="N3" s="2"/>
      <c r="O3" s="2"/>
    </row>
    <row r="4" spans="1:15" x14ac:dyDescent="0.15">
      <c r="A4" s="1">
        <v>45902</v>
      </c>
      <c r="B4" t="s">
        <v>2</v>
      </c>
      <c r="C4" s="5">
        <v>129.21259842519686</v>
      </c>
      <c r="D4" s="3">
        <v>8.9730971128608936E-2</v>
      </c>
      <c r="E4" s="5">
        <v>76.107960629921266</v>
      </c>
      <c r="F4" s="5">
        <v>26.144645669291336</v>
      </c>
      <c r="G4" s="6">
        <v>35.34080804387569</v>
      </c>
      <c r="H4" s="6">
        <v>3.3228346456692912</v>
      </c>
      <c r="I4" s="2"/>
      <c r="J4" s="2"/>
      <c r="K4" s="2"/>
      <c r="L4" s="2"/>
      <c r="M4" s="2"/>
      <c r="N4" s="2"/>
      <c r="O4" s="2"/>
    </row>
    <row r="5" spans="1:15" x14ac:dyDescent="0.15">
      <c r="A5" s="1">
        <v>45902</v>
      </c>
      <c r="B5" t="s">
        <v>3</v>
      </c>
      <c r="C5" s="5">
        <v>164.94444444444446</v>
      </c>
      <c r="D5" s="3">
        <v>0.11454475308641977</v>
      </c>
      <c r="E5" s="5">
        <v>124.90647222222226</v>
      </c>
      <c r="F5" s="5">
        <v>31.909722222222221</v>
      </c>
      <c r="G5" s="6">
        <v>45.435833614011464</v>
      </c>
      <c r="H5" s="6">
        <v>4.416666666666667</v>
      </c>
      <c r="I5" s="2"/>
      <c r="J5" s="2"/>
      <c r="K5" s="2"/>
      <c r="L5" s="2"/>
      <c r="M5" s="2"/>
      <c r="N5" s="2"/>
      <c r="O5" s="2"/>
    </row>
    <row r="6" spans="1:15" x14ac:dyDescent="0.15">
      <c r="A6" s="1">
        <v>45903</v>
      </c>
      <c r="B6" t="s">
        <v>2</v>
      </c>
      <c r="C6" s="5">
        <v>147.75590551181102</v>
      </c>
      <c r="D6" s="3">
        <v>0.10260826771653543</v>
      </c>
      <c r="E6" s="5">
        <v>83.729897637795276</v>
      </c>
      <c r="F6" s="5">
        <v>28.977480314960641</v>
      </c>
      <c r="G6" s="6">
        <v>34.000629896083133</v>
      </c>
      <c r="H6" s="6">
        <v>3.4960629921259843</v>
      </c>
      <c r="I6" s="2"/>
      <c r="J6" s="2"/>
      <c r="K6" s="2"/>
      <c r="L6" s="2"/>
      <c r="M6" s="2"/>
      <c r="N6" s="2"/>
      <c r="O6" s="2"/>
    </row>
    <row r="7" spans="1:15" x14ac:dyDescent="0.15">
      <c r="A7" s="1">
        <v>45903</v>
      </c>
      <c r="B7" t="s">
        <v>3</v>
      </c>
      <c r="C7" s="5">
        <v>171.77777777777777</v>
      </c>
      <c r="D7" s="3">
        <v>0.11929012345679012</v>
      </c>
      <c r="E7" s="5">
        <v>122.4306944444445</v>
      </c>
      <c r="F7" s="5">
        <v>28.711944444444427</v>
      </c>
      <c r="G7" s="6">
        <v>42.763631953428224</v>
      </c>
      <c r="H7" s="6">
        <v>4.25</v>
      </c>
      <c r="I7" s="2"/>
      <c r="J7" s="2"/>
      <c r="K7" s="2"/>
      <c r="L7" s="2"/>
      <c r="M7" s="2"/>
      <c r="N7" s="2"/>
      <c r="O7" s="2"/>
    </row>
    <row r="8" spans="1:15" x14ac:dyDescent="0.15">
      <c r="A8" s="1">
        <v>45904</v>
      </c>
      <c r="B8" t="s">
        <v>2</v>
      </c>
      <c r="C8" s="5">
        <v>151.29133858267716</v>
      </c>
      <c r="D8" s="3">
        <v>0.10506342957130357</v>
      </c>
      <c r="E8" s="5">
        <v>88.273456692913385</v>
      </c>
      <c r="F8" s="5">
        <v>30.763543307086628</v>
      </c>
      <c r="G8" s="6">
        <v>35.008001457270737</v>
      </c>
      <c r="H8" s="6">
        <v>3.6929133858267718</v>
      </c>
      <c r="I8" s="2"/>
      <c r="J8" s="2"/>
      <c r="K8" s="2"/>
      <c r="L8" s="2"/>
      <c r="M8" s="2"/>
      <c r="N8" s="2"/>
      <c r="O8" s="2"/>
    </row>
    <row r="9" spans="1:15" x14ac:dyDescent="0.15">
      <c r="A9" s="1">
        <v>45904</v>
      </c>
      <c r="B9" t="s">
        <v>3</v>
      </c>
      <c r="C9" s="5">
        <v>182.33333333333334</v>
      </c>
      <c r="D9" s="3">
        <v>0.12662037037037038</v>
      </c>
      <c r="E9" s="5">
        <v>126.39197222222226</v>
      </c>
      <c r="F9" s="5">
        <v>30.476111111111113</v>
      </c>
      <c r="G9" s="6">
        <v>41.591508226691055</v>
      </c>
      <c r="H9" s="6">
        <v>4.4444444444444446</v>
      </c>
      <c r="I9" s="2"/>
      <c r="J9" s="2"/>
      <c r="K9" s="2"/>
      <c r="L9" s="2"/>
      <c r="M9" s="2"/>
      <c r="N9" s="2"/>
      <c r="O9" s="2"/>
    </row>
    <row r="10" spans="1:15" x14ac:dyDescent="0.15">
      <c r="A10" s="1">
        <v>45905</v>
      </c>
      <c r="B10" t="s">
        <v>2</v>
      </c>
      <c r="C10" s="5">
        <v>174.58267716535434</v>
      </c>
      <c r="D10" s="3">
        <v>0.1212379702537183</v>
      </c>
      <c r="E10" s="5">
        <v>102.80186614173225</v>
      </c>
      <c r="F10" s="5">
        <v>36.015511811023572</v>
      </c>
      <c r="G10" s="6">
        <v>35.330607071982669</v>
      </c>
      <c r="H10" s="6">
        <v>4.0787401574803148</v>
      </c>
      <c r="I10" s="2"/>
      <c r="J10" s="2"/>
      <c r="K10" s="2"/>
      <c r="L10" s="2"/>
      <c r="M10" s="2"/>
      <c r="N10" s="2"/>
      <c r="O10" s="2"/>
    </row>
    <row r="11" spans="1:15" x14ac:dyDescent="0.15">
      <c r="A11" s="1">
        <v>45905</v>
      </c>
      <c r="B11" t="s">
        <v>3</v>
      </c>
      <c r="C11" s="5">
        <v>207.16666666666666</v>
      </c>
      <c r="D11" s="3">
        <v>0.14386574074074074</v>
      </c>
      <c r="E11" s="5">
        <v>154.92880555555561</v>
      </c>
      <c r="F11" s="5">
        <v>41.309444444444473</v>
      </c>
      <c r="G11" s="6">
        <v>44.870772325020127</v>
      </c>
      <c r="H11" s="6">
        <v>5.6388888888888893</v>
      </c>
      <c r="I11" s="2"/>
      <c r="J11" s="2"/>
      <c r="K11" s="2"/>
      <c r="L11" s="2"/>
      <c r="M11" s="2"/>
      <c r="N11" s="2"/>
      <c r="O11" s="2"/>
    </row>
    <row r="12" spans="1:15" x14ac:dyDescent="0.15">
      <c r="A12" s="1">
        <v>45906</v>
      </c>
      <c r="B12" t="s">
        <v>2</v>
      </c>
      <c r="C12" s="5">
        <v>151.8740157480315</v>
      </c>
      <c r="D12" s="3">
        <v>0.10546806649168854</v>
      </c>
      <c r="E12" s="5">
        <v>89.652685039370155</v>
      </c>
      <c r="F12" s="5">
        <v>30.955433070866157</v>
      </c>
      <c r="G12" s="6">
        <v>35.41857424305271</v>
      </c>
      <c r="H12" s="6">
        <v>3.6141732283464565</v>
      </c>
      <c r="I12" s="2"/>
      <c r="J12" s="2"/>
      <c r="K12" s="2"/>
      <c r="L12" s="2"/>
      <c r="M12" s="2"/>
      <c r="N12" s="2"/>
      <c r="O12" s="2"/>
    </row>
    <row r="13" spans="1:15" x14ac:dyDescent="0.15">
      <c r="A13" s="1">
        <v>45906</v>
      </c>
      <c r="B13" t="s">
        <v>3</v>
      </c>
      <c r="C13" s="5">
        <v>190.52777777777777</v>
      </c>
      <c r="D13" s="3">
        <v>0.13231095679012345</v>
      </c>
      <c r="E13" s="5">
        <v>145.98488888888889</v>
      </c>
      <c r="F13" s="5">
        <v>35.993611111111107</v>
      </c>
      <c r="G13" s="6">
        <v>45.972789036302672</v>
      </c>
      <c r="H13" s="6">
        <v>4.8611111111111107</v>
      </c>
      <c r="I13" s="2"/>
      <c r="J13" s="2"/>
      <c r="K13" s="2"/>
      <c r="L13" s="2"/>
      <c r="M13" s="2"/>
      <c r="N13" s="2"/>
      <c r="O13" s="2"/>
    </row>
    <row r="14" spans="1:15" x14ac:dyDescent="0.15">
      <c r="A14" s="1">
        <v>45907</v>
      </c>
      <c r="B14" t="s">
        <v>2</v>
      </c>
      <c r="C14" s="5">
        <v>134.04724409448818</v>
      </c>
      <c r="D14" s="3">
        <v>9.3088363954505676E-2</v>
      </c>
      <c r="E14" s="5">
        <v>77.08195275590549</v>
      </c>
      <c r="F14" s="5">
        <v>26.089763779527569</v>
      </c>
      <c r="G14" s="6">
        <v>34.50214285714285</v>
      </c>
      <c r="H14" s="6">
        <v>3.1496062992125986</v>
      </c>
      <c r="I14" s="2"/>
      <c r="J14" s="2"/>
      <c r="K14" s="2"/>
      <c r="L14" s="2"/>
      <c r="M14" s="2"/>
      <c r="N14" s="2"/>
      <c r="O14" s="2"/>
    </row>
    <row r="15" spans="1:15" x14ac:dyDescent="0.15">
      <c r="A15" s="1">
        <v>45907</v>
      </c>
      <c r="B15" t="s">
        <v>3</v>
      </c>
      <c r="C15" s="5">
        <v>165.41666666666666</v>
      </c>
      <c r="D15" s="3">
        <v>0.11487268518518517</v>
      </c>
      <c r="E15" s="5">
        <v>126.33547222222221</v>
      </c>
      <c r="F15" s="5">
        <v>29.867777777777761</v>
      </c>
      <c r="G15" s="6">
        <v>45.824453400503771</v>
      </c>
      <c r="H15" s="6">
        <v>4.3888888888888893</v>
      </c>
      <c r="I15" s="2"/>
      <c r="J15" s="2"/>
      <c r="K15" s="2"/>
      <c r="L15" s="2"/>
      <c r="M15" s="2"/>
      <c r="N15" s="2"/>
      <c r="O15" s="2"/>
    </row>
    <row r="16" spans="1:15" x14ac:dyDescent="0.15">
      <c r="A16" s="1">
        <v>45908</v>
      </c>
      <c r="B16" t="s">
        <v>2</v>
      </c>
      <c r="C16" s="5">
        <v>155.73228346456693</v>
      </c>
      <c r="D16" s="3">
        <v>0.10814741907261592</v>
      </c>
      <c r="E16" s="5">
        <v>89.305251968503953</v>
      </c>
      <c r="F16" s="5">
        <v>31.131102362204739</v>
      </c>
      <c r="G16" s="6">
        <v>34.407221154818494</v>
      </c>
      <c r="H16" s="6">
        <v>3.606299212598425</v>
      </c>
      <c r="I16" s="2"/>
      <c r="J16" s="2"/>
      <c r="K16" s="2"/>
      <c r="L16" s="2"/>
      <c r="M16" s="2"/>
      <c r="N16" s="2"/>
      <c r="O16" s="2"/>
    </row>
    <row r="17" spans="1:15" x14ac:dyDescent="0.15">
      <c r="A17" s="1">
        <v>45908</v>
      </c>
      <c r="B17" t="s">
        <v>3</v>
      </c>
      <c r="C17" s="5">
        <v>195.41666666666666</v>
      </c>
      <c r="D17" s="3">
        <v>0.13570601851851852</v>
      </c>
      <c r="E17" s="5">
        <v>138.7835</v>
      </c>
      <c r="F17" s="5">
        <v>37.032499999999992</v>
      </c>
      <c r="G17" s="6">
        <v>42.611565031982941</v>
      </c>
      <c r="H17" s="6">
        <v>4.6944444444444446</v>
      </c>
      <c r="I17" s="2"/>
      <c r="J17" s="2"/>
      <c r="K17" s="2"/>
      <c r="L17" s="2"/>
      <c r="M17" s="2"/>
      <c r="N17" s="2"/>
      <c r="O17" s="2"/>
    </row>
    <row r="18" spans="1:15" x14ac:dyDescent="0.15">
      <c r="A18" s="1">
        <v>45909</v>
      </c>
      <c r="B18" t="s">
        <v>2</v>
      </c>
      <c r="C18" s="5">
        <v>127.07874015748031</v>
      </c>
      <c r="D18" s="3">
        <v>8.8249125109361323E-2</v>
      </c>
      <c r="E18" s="5">
        <v>71.853196850393672</v>
      </c>
      <c r="F18" s="5">
        <v>24.818110236220452</v>
      </c>
      <c r="G18" s="6">
        <v>33.925358448478825</v>
      </c>
      <c r="H18" s="6">
        <v>3.2283464566929134</v>
      </c>
      <c r="I18" s="2"/>
      <c r="J18" s="2"/>
      <c r="K18" s="2"/>
      <c r="L18" s="2"/>
      <c r="M18" s="2"/>
      <c r="N18" s="2"/>
      <c r="O18" s="2"/>
    </row>
    <row r="19" spans="1:15" x14ac:dyDescent="0.15">
      <c r="A19" s="1">
        <v>45909</v>
      </c>
      <c r="B19" t="s">
        <v>3</v>
      </c>
      <c r="C19" s="5">
        <v>176.5</v>
      </c>
      <c r="D19" s="3">
        <v>0.12256944444444445</v>
      </c>
      <c r="E19" s="5">
        <v>129.31838888888899</v>
      </c>
      <c r="F19" s="5">
        <v>32.176388888888873</v>
      </c>
      <c r="G19" s="6">
        <v>43.960925401322029</v>
      </c>
      <c r="H19" s="6">
        <v>4.7222222222222223</v>
      </c>
      <c r="I19" s="2"/>
      <c r="J19" s="2"/>
      <c r="K19" s="2"/>
      <c r="L19" s="2"/>
      <c r="M19" s="2"/>
      <c r="N19" s="2"/>
      <c r="O19" s="2"/>
    </row>
    <row r="20" spans="1:15" x14ac:dyDescent="0.15">
      <c r="A20" s="1">
        <v>45910</v>
      </c>
      <c r="B20" t="s">
        <v>2</v>
      </c>
      <c r="C20" s="5">
        <v>132.88976377952756</v>
      </c>
      <c r="D20" s="3">
        <v>9.2284558180227461E-2</v>
      </c>
      <c r="E20" s="5">
        <v>79.129244094488229</v>
      </c>
      <c r="F20" s="5">
        <v>27.503858267716534</v>
      </c>
      <c r="G20" s="6">
        <v>35.727015464833812</v>
      </c>
      <c r="H20" s="6">
        <v>3.1338582677165356</v>
      </c>
      <c r="I20" s="2"/>
      <c r="J20" s="2"/>
      <c r="K20" s="2"/>
      <c r="L20" s="2"/>
      <c r="M20" s="2"/>
      <c r="N20" s="2"/>
      <c r="O20" s="2"/>
    </row>
    <row r="21" spans="1:15" x14ac:dyDescent="0.15">
      <c r="A21" s="1">
        <v>45910</v>
      </c>
      <c r="B21" t="s">
        <v>3</v>
      </c>
      <c r="C21" s="5">
        <v>174.36111111111111</v>
      </c>
      <c r="D21" s="3">
        <v>0.12108410493827161</v>
      </c>
      <c r="E21" s="5">
        <v>140.38961111111104</v>
      </c>
      <c r="F21" s="5">
        <v>35.187222222222232</v>
      </c>
      <c r="G21" s="6">
        <v>48.309950613350303</v>
      </c>
      <c r="H21" s="6">
        <v>4.75</v>
      </c>
      <c r="I21" s="2"/>
      <c r="J21" s="2"/>
      <c r="K21" s="2"/>
      <c r="L21" s="2"/>
      <c r="M21" s="2"/>
      <c r="N21" s="2"/>
      <c r="O21" s="2"/>
    </row>
    <row r="22" spans="1:15" x14ac:dyDescent="0.15">
      <c r="A22" s="1">
        <v>45911</v>
      </c>
      <c r="B22" t="s">
        <v>2</v>
      </c>
      <c r="C22" s="5">
        <v>154.3228346456693</v>
      </c>
      <c r="D22" s="3">
        <v>0.10716863517060368</v>
      </c>
      <c r="E22" s="5">
        <v>87.843732283464632</v>
      </c>
      <c r="F22" s="5">
        <v>30.959763779527545</v>
      </c>
      <c r="G22" s="6">
        <v>34.153234348691285</v>
      </c>
      <c r="H22" s="6">
        <v>3.606299212598425</v>
      </c>
      <c r="I22" s="2"/>
      <c r="J22" s="2"/>
      <c r="K22" s="2"/>
      <c r="L22" s="2"/>
      <c r="M22" s="2"/>
      <c r="N22" s="2"/>
      <c r="O22" s="2"/>
    </row>
    <row r="23" spans="1:15" x14ac:dyDescent="0.15">
      <c r="A23" s="1">
        <v>45911</v>
      </c>
      <c r="B23" t="s">
        <v>3</v>
      </c>
      <c r="C23" s="5">
        <v>176.97222222222223</v>
      </c>
      <c r="D23" s="3">
        <v>0.12289737654320988</v>
      </c>
      <c r="E23" s="5">
        <v>122.9184166666667</v>
      </c>
      <c r="F23" s="5">
        <v>30.90750000000001</v>
      </c>
      <c r="G23" s="6">
        <v>41.673800031392254</v>
      </c>
      <c r="H23" s="6">
        <v>4.4722222222222223</v>
      </c>
      <c r="I23" s="2"/>
      <c r="J23" s="2"/>
      <c r="K23" s="2"/>
      <c r="L23" s="2"/>
      <c r="M23" s="2"/>
      <c r="N23" s="2"/>
      <c r="O23" s="2"/>
    </row>
    <row r="24" spans="1:15" x14ac:dyDescent="0.15">
      <c r="A24" s="1">
        <v>45912</v>
      </c>
      <c r="B24" t="s">
        <v>2</v>
      </c>
      <c r="C24" s="5">
        <v>156.08661417322836</v>
      </c>
      <c r="D24" s="3">
        <v>0.10839348206474191</v>
      </c>
      <c r="E24" s="5">
        <v>89.260559055118009</v>
      </c>
      <c r="F24" s="5">
        <v>30.69803149606301</v>
      </c>
      <c r="G24" s="6">
        <v>34.311933612470327</v>
      </c>
      <c r="H24" s="6">
        <v>3.6535433070866143</v>
      </c>
      <c r="I24" s="2"/>
      <c r="J24" s="2"/>
      <c r="K24" s="2"/>
      <c r="L24" s="2"/>
      <c r="M24" s="2"/>
      <c r="N24" s="2"/>
      <c r="O24" s="2"/>
    </row>
    <row r="25" spans="1:15" x14ac:dyDescent="0.15">
      <c r="A25" s="1">
        <v>45912</v>
      </c>
      <c r="B25" t="s">
        <v>3</v>
      </c>
      <c r="C25" s="5">
        <v>196.69444444444446</v>
      </c>
      <c r="D25" s="3">
        <v>0.13659336419753088</v>
      </c>
      <c r="E25" s="5">
        <v>149.45136111111111</v>
      </c>
      <c r="F25" s="5">
        <v>37.454166666666673</v>
      </c>
      <c r="G25" s="6">
        <v>45.588891399519838</v>
      </c>
      <c r="H25" s="6">
        <v>4.9444444444444446</v>
      </c>
      <c r="I25" s="2"/>
      <c r="J25" s="2"/>
      <c r="K25" s="2"/>
      <c r="L25" s="2"/>
      <c r="M25" s="2"/>
      <c r="N25" s="2"/>
      <c r="O25" s="2"/>
    </row>
    <row r="26" spans="1:15" x14ac:dyDescent="0.15">
      <c r="A26" s="1">
        <v>45913</v>
      </c>
      <c r="B26" t="s">
        <v>2</v>
      </c>
      <c r="C26" s="5">
        <v>147.05511811023621</v>
      </c>
      <c r="D26" s="3">
        <v>0.10212160979877515</v>
      </c>
      <c r="E26" s="5">
        <v>87.410031496063027</v>
      </c>
      <c r="F26" s="5">
        <v>29.964803149606279</v>
      </c>
      <c r="G26" s="6">
        <v>35.664191475690743</v>
      </c>
      <c r="H26" s="6">
        <v>3.4330708661417324</v>
      </c>
      <c r="I26" s="2"/>
      <c r="J26" s="2"/>
      <c r="K26" s="2"/>
      <c r="L26" s="2"/>
      <c r="M26" s="2"/>
      <c r="N26" s="2"/>
      <c r="O26" s="2"/>
    </row>
    <row r="27" spans="1:15" x14ac:dyDescent="0.15">
      <c r="A27" s="1">
        <v>45913</v>
      </c>
      <c r="B27" t="s">
        <v>3</v>
      </c>
      <c r="C27" s="5">
        <v>278.22222222222223</v>
      </c>
      <c r="D27" s="3">
        <v>0.1932098765432099</v>
      </c>
      <c r="E27" s="5">
        <v>207.82552777777789</v>
      </c>
      <c r="F27" s="5">
        <v>49.536111111111104</v>
      </c>
      <c r="G27" s="6">
        <v>44.818604233226857</v>
      </c>
      <c r="H27" s="6">
        <v>7.1111111111111107</v>
      </c>
      <c r="I27" s="2"/>
      <c r="J27" s="2"/>
      <c r="K27" s="2"/>
      <c r="L27" s="2"/>
      <c r="M27" s="2"/>
      <c r="N27" s="2"/>
      <c r="O27" s="2"/>
    </row>
    <row r="28" spans="1:15" x14ac:dyDescent="0.15">
      <c r="A28" s="1">
        <v>45914</v>
      </c>
      <c r="B28" t="s">
        <v>2</v>
      </c>
      <c r="C28" s="5">
        <v>141.49606299212599</v>
      </c>
      <c r="D28" s="3">
        <v>9.8261154855643046E-2</v>
      </c>
      <c r="E28" s="5">
        <v>83.178165354330687</v>
      </c>
      <c r="F28" s="5">
        <v>28.519763779527551</v>
      </c>
      <c r="G28" s="6">
        <v>35.270874791318853</v>
      </c>
      <c r="H28" s="6">
        <v>3.377952755905512</v>
      </c>
      <c r="I28" s="2"/>
      <c r="J28" s="2"/>
      <c r="K28" s="2"/>
      <c r="L28" s="2"/>
      <c r="M28" s="2"/>
      <c r="N28" s="2"/>
      <c r="O28" s="2"/>
    </row>
    <row r="29" spans="1:15" x14ac:dyDescent="0.15">
      <c r="A29" s="1">
        <v>45914</v>
      </c>
      <c r="B29" t="s">
        <v>3</v>
      </c>
      <c r="C29" s="5">
        <v>174.80555555555554</v>
      </c>
      <c r="D29" s="3">
        <v>0.12139274691358024</v>
      </c>
      <c r="E29" s="5">
        <v>137.70994444444449</v>
      </c>
      <c r="F29" s="5">
        <v>34.882777777777754</v>
      </c>
      <c r="G29" s="6">
        <v>47.267357381217238</v>
      </c>
      <c r="H29" s="6">
        <v>4.583333333333333</v>
      </c>
      <c r="I29" s="2"/>
      <c r="J29" s="2"/>
      <c r="K29" s="2"/>
      <c r="L29" s="2"/>
      <c r="M29" s="2"/>
      <c r="N29" s="2"/>
      <c r="O29" s="2"/>
    </row>
    <row r="30" spans="1:15" x14ac:dyDescent="0.15">
      <c r="A30" s="1">
        <v>45915</v>
      </c>
      <c r="B30" t="s">
        <v>2</v>
      </c>
      <c r="C30" s="5">
        <v>150.25196850393701</v>
      </c>
      <c r="D30" s="3">
        <v>0.10434164479440071</v>
      </c>
      <c r="E30" s="5">
        <v>85.220165354330803</v>
      </c>
      <c r="F30" s="5">
        <v>29.646771653543297</v>
      </c>
      <c r="G30" s="6">
        <v>34.030901373021734</v>
      </c>
      <c r="H30" s="6">
        <v>3.5590551181102361</v>
      </c>
      <c r="I30" s="2"/>
      <c r="J30" s="2"/>
      <c r="K30" s="2"/>
      <c r="L30" s="2"/>
      <c r="M30" s="2"/>
      <c r="N30" s="2"/>
      <c r="O30" s="2"/>
    </row>
    <row r="31" spans="1:15" x14ac:dyDescent="0.15">
      <c r="A31" s="1">
        <v>45915</v>
      </c>
      <c r="B31" t="s">
        <v>3</v>
      </c>
      <c r="C31" s="5">
        <v>191.47222222222223</v>
      </c>
      <c r="D31" s="3">
        <v>0.13296682098765433</v>
      </c>
      <c r="E31" s="5">
        <v>141.75008333333335</v>
      </c>
      <c r="F31" s="5">
        <v>37.503055555555569</v>
      </c>
      <c r="G31" s="6">
        <v>44.419001885971277</v>
      </c>
      <c r="H31" s="6">
        <v>4.6944444444444446</v>
      </c>
      <c r="I31" s="2"/>
      <c r="J31" s="2"/>
      <c r="K31" s="2"/>
      <c r="L31" s="2"/>
      <c r="M31" s="2"/>
      <c r="N31" s="2"/>
      <c r="O31" s="2"/>
    </row>
    <row r="32" spans="1:15" x14ac:dyDescent="0.15">
      <c r="A32" s="1">
        <v>45916</v>
      </c>
      <c r="B32" t="s">
        <v>2</v>
      </c>
      <c r="C32" s="5">
        <v>153.48818897637796</v>
      </c>
      <c r="D32" s="3">
        <v>0.10658902012248468</v>
      </c>
      <c r="E32" s="5">
        <v>89.645188976377952</v>
      </c>
      <c r="F32" s="5">
        <v>31.575826771653546</v>
      </c>
      <c r="G32" s="6">
        <v>35.043161134766329</v>
      </c>
      <c r="H32" s="6">
        <v>3.6456692913385829</v>
      </c>
      <c r="I32" s="2"/>
      <c r="J32" s="2"/>
      <c r="K32" s="2"/>
      <c r="L32" s="2"/>
      <c r="M32" s="2"/>
      <c r="N32" s="2"/>
      <c r="O32" s="2"/>
    </row>
    <row r="33" spans="1:15" x14ac:dyDescent="0.15">
      <c r="A33" s="1">
        <v>45916</v>
      </c>
      <c r="B33" t="s">
        <v>3</v>
      </c>
      <c r="C33" s="5">
        <v>204.88888888888889</v>
      </c>
      <c r="D33" s="3">
        <v>0.14228395061728394</v>
      </c>
      <c r="E33" s="5">
        <v>139.65002777777778</v>
      </c>
      <c r="F33" s="5">
        <v>36.027222222222242</v>
      </c>
      <c r="G33" s="6">
        <v>40.895344360086767</v>
      </c>
      <c r="H33" s="6">
        <v>5.083333333333333</v>
      </c>
      <c r="I33" s="2"/>
      <c r="J33" s="2"/>
      <c r="K33" s="2"/>
      <c r="L33" s="2"/>
      <c r="M33" s="2"/>
      <c r="N33" s="2"/>
      <c r="O33" s="2"/>
    </row>
    <row r="34" spans="1:15" x14ac:dyDescent="0.15">
      <c r="A34" s="1">
        <v>45917</v>
      </c>
      <c r="B34" t="s">
        <v>2</v>
      </c>
      <c r="C34" s="5">
        <v>166.74803149606299</v>
      </c>
      <c r="D34" s="3">
        <v>0.11579724409448819</v>
      </c>
      <c r="E34" s="5">
        <v>93.356913385826758</v>
      </c>
      <c r="F34" s="5">
        <v>32.628031496062981</v>
      </c>
      <c r="G34" s="6">
        <v>33.592089531095048</v>
      </c>
      <c r="H34" s="6">
        <v>3.811023622047244</v>
      </c>
      <c r="I34" s="2"/>
      <c r="J34" s="2"/>
      <c r="K34" s="2"/>
      <c r="L34" s="2"/>
      <c r="M34" s="2"/>
      <c r="N34" s="2"/>
      <c r="O34" s="2"/>
    </row>
    <row r="35" spans="1:15" x14ac:dyDescent="0.15">
      <c r="A35" s="1">
        <v>45917</v>
      </c>
      <c r="B35" t="s">
        <v>3</v>
      </c>
      <c r="C35" s="5">
        <v>203.58333333333334</v>
      </c>
      <c r="D35" s="3">
        <v>0.14137731481481483</v>
      </c>
      <c r="E35" s="5">
        <v>153.77475000000004</v>
      </c>
      <c r="F35" s="5">
        <v>38.569722222222232</v>
      </c>
      <c r="G35" s="6">
        <v>45.320433892754821</v>
      </c>
      <c r="H35" s="6">
        <v>5.1388888888888893</v>
      </c>
      <c r="I35" s="2"/>
      <c r="J35" s="2"/>
      <c r="K35" s="2"/>
      <c r="L35" s="2"/>
      <c r="M35" s="2"/>
      <c r="N35" s="2"/>
      <c r="O35" s="2"/>
    </row>
    <row r="36" spans="1:15" x14ac:dyDescent="0.15">
      <c r="A36" s="1">
        <v>45918</v>
      </c>
      <c r="B36" t="s">
        <v>2</v>
      </c>
      <c r="C36" s="5">
        <v>136.14960629921259</v>
      </c>
      <c r="D36" s="3">
        <v>9.454833770778652E-2</v>
      </c>
      <c r="E36" s="5">
        <v>76.081354330708663</v>
      </c>
      <c r="F36" s="5">
        <v>25.873700787401557</v>
      </c>
      <c r="G36" s="6">
        <v>33.528420565612166</v>
      </c>
      <c r="H36" s="6">
        <v>3.2677165354330708</v>
      </c>
      <c r="I36" s="2"/>
      <c r="J36" s="2"/>
      <c r="K36" s="2"/>
      <c r="L36" s="2"/>
      <c r="M36" s="2"/>
      <c r="N36" s="2"/>
      <c r="O36" s="2"/>
    </row>
    <row r="37" spans="1:15" x14ac:dyDescent="0.15">
      <c r="A37" s="1">
        <v>45918</v>
      </c>
      <c r="B37" t="s">
        <v>3</v>
      </c>
      <c r="C37" s="5">
        <v>171.97222222222223</v>
      </c>
      <c r="D37" s="3">
        <v>0.11942515432098766</v>
      </c>
      <c r="E37" s="5">
        <v>116.63488888888895</v>
      </c>
      <c r="F37" s="5">
        <v>28.19916666666667</v>
      </c>
      <c r="G37" s="6">
        <v>40.693161040219699</v>
      </c>
      <c r="H37" s="6">
        <v>4.4722222222222223</v>
      </c>
      <c r="I37" s="2"/>
      <c r="J37" s="2"/>
      <c r="K37" s="2"/>
      <c r="L37" s="2"/>
      <c r="M37" s="2"/>
      <c r="N37" s="2"/>
      <c r="O37" s="2"/>
    </row>
    <row r="38" spans="1:15" x14ac:dyDescent="0.15">
      <c r="A38" s="1">
        <v>45919</v>
      </c>
      <c r="B38" t="s">
        <v>2</v>
      </c>
      <c r="C38" s="5">
        <v>108.8267716535433</v>
      </c>
      <c r="D38" s="3">
        <v>7.5574146981627302E-2</v>
      </c>
      <c r="E38" s="5">
        <v>59.541779527559108</v>
      </c>
      <c r="F38" s="5">
        <v>20.642598425196837</v>
      </c>
      <c r="G38" s="6">
        <v>32.827462556978539</v>
      </c>
      <c r="H38" s="6">
        <v>2.7244094488188977</v>
      </c>
      <c r="I38" s="2"/>
      <c r="J38" s="2"/>
      <c r="K38" s="2"/>
      <c r="L38" s="2"/>
      <c r="M38" s="2"/>
      <c r="N38" s="2"/>
      <c r="O38" s="2"/>
    </row>
    <row r="39" spans="1:15" x14ac:dyDescent="0.15">
      <c r="A39" s="1">
        <v>45919</v>
      </c>
      <c r="B39" t="s">
        <v>3</v>
      </c>
      <c r="C39" s="5">
        <v>178.30555555555554</v>
      </c>
      <c r="D39" s="3">
        <v>0.1238233024691358</v>
      </c>
      <c r="E39" s="5">
        <v>128.25152777777782</v>
      </c>
      <c r="F39" s="5">
        <v>32.401388888888889</v>
      </c>
      <c r="G39" s="6">
        <v>43.156768967128848</v>
      </c>
      <c r="H39" s="6">
        <v>4.6111111111111107</v>
      </c>
      <c r="I39" s="2"/>
      <c r="J39" s="2"/>
      <c r="K39" s="2"/>
      <c r="L39" s="2"/>
      <c r="M39" s="2"/>
      <c r="N39" s="2"/>
      <c r="O39" s="2"/>
    </row>
    <row r="40" spans="1:15" x14ac:dyDescent="0.15">
      <c r="A40" s="1">
        <v>45920</v>
      </c>
      <c r="B40" t="s">
        <v>2</v>
      </c>
      <c r="C40" s="5">
        <v>133.29133858267716</v>
      </c>
      <c r="D40" s="3">
        <v>9.2563429571303577E-2</v>
      </c>
      <c r="E40" s="5">
        <v>74.236653543307085</v>
      </c>
      <c r="F40" s="5">
        <v>25.28291338582676</v>
      </c>
      <c r="G40" s="6">
        <v>33.417019139886584</v>
      </c>
      <c r="H40" s="6">
        <v>3.2598425196850394</v>
      </c>
      <c r="I40" s="2"/>
      <c r="J40" s="2"/>
      <c r="K40" s="2"/>
      <c r="L40" s="2"/>
      <c r="M40" s="2"/>
      <c r="N40" s="2"/>
      <c r="O40" s="2"/>
    </row>
    <row r="41" spans="1:15" x14ac:dyDescent="0.15">
      <c r="A41" s="1">
        <v>45920</v>
      </c>
      <c r="B41" t="s">
        <v>3</v>
      </c>
      <c r="C41" s="5">
        <v>180.25</v>
      </c>
      <c r="D41" s="3">
        <v>0.12517361111111111</v>
      </c>
      <c r="E41" s="5">
        <v>124.89255555555559</v>
      </c>
      <c r="F41" s="5">
        <v>33.293888888888887</v>
      </c>
      <c r="G41" s="6">
        <v>41.573111419325024</v>
      </c>
      <c r="H41" s="6">
        <v>4.666666666666667</v>
      </c>
      <c r="I41" s="2"/>
      <c r="J41" s="2"/>
      <c r="K41" s="2"/>
      <c r="L41" s="2"/>
      <c r="M41" s="2"/>
      <c r="N41" s="2"/>
      <c r="O41" s="2"/>
    </row>
    <row r="42" spans="1:15" x14ac:dyDescent="0.15">
      <c r="A42" s="1">
        <v>45921</v>
      </c>
      <c r="B42" t="s">
        <v>2</v>
      </c>
      <c r="C42" s="5">
        <v>122.85039370078741</v>
      </c>
      <c r="D42" s="3">
        <v>8.531277340332459E-2</v>
      </c>
      <c r="E42" s="5">
        <v>70.042708661417322</v>
      </c>
      <c r="F42" s="5">
        <v>23.727716535433085</v>
      </c>
      <c r="G42" s="6">
        <v>34.208783489296238</v>
      </c>
      <c r="H42" s="6">
        <v>2.9133858267716537</v>
      </c>
      <c r="I42" s="2"/>
      <c r="J42" s="2"/>
      <c r="K42" s="2"/>
      <c r="L42" s="2"/>
      <c r="M42" s="2"/>
      <c r="N42" s="2"/>
      <c r="O42" s="2"/>
    </row>
    <row r="43" spans="1:15" x14ac:dyDescent="0.15">
      <c r="A43" s="1">
        <v>45921</v>
      </c>
      <c r="B43" t="s">
        <v>3</v>
      </c>
      <c r="C43" s="5">
        <v>163.22222222222223</v>
      </c>
      <c r="D43" s="3">
        <v>0.11334876543209878</v>
      </c>
      <c r="E43" s="5">
        <v>118.67880555555558</v>
      </c>
      <c r="F43" s="5">
        <v>30.130555555555546</v>
      </c>
      <c r="G43" s="6">
        <v>43.62597345132744</v>
      </c>
      <c r="H43" s="6">
        <v>4.083333333333333</v>
      </c>
      <c r="I43" s="2"/>
      <c r="J43" s="2"/>
      <c r="K43" s="2"/>
      <c r="L43" s="2"/>
      <c r="M43" s="2"/>
      <c r="N43" s="2"/>
      <c r="O43" s="2"/>
    </row>
    <row r="44" spans="1:15" x14ac:dyDescent="0.15">
      <c r="A44" s="1">
        <v>45922</v>
      </c>
      <c r="B44" t="s">
        <v>2</v>
      </c>
      <c r="C44" s="5">
        <v>112.64566929133858</v>
      </c>
      <c r="D44" s="3">
        <v>7.8226159230096223E-2</v>
      </c>
      <c r="E44" s="5">
        <v>63.692551181102338</v>
      </c>
      <c r="F44" s="5">
        <v>21.637795275590541</v>
      </c>
      <c r="G44" s="6">
        <v>33.925432685586451</v>
      </c>
      <c r="H44" s="6">
        <v>2.7716535433070866</v>
      </c>
      <c r="I44" s="2"/>
      <c r="J44" s="2"/>
      <c r="K44" s="2"/>
      <c r="L44" s="2"/>
      <c r="M44" s="2"/>
      <c r="N44" s="2"/>
      <c r="O44" s="2"/>
    </row>
    <row r="45" spans="1:15" x14ac:dyDescent="0.15">
      <c r="A45" s="1">
        <v>45922</v>
      </c>
      <c r="B45" t="s">
        <v>3</v>
      </c>
      <c r="C45" s="5">
        <v>159.41666666666666</v>
      </c>
      <c r="D45" s="3">
        <v>0.11070601851851851</v>
      </c>
      <c r="E45" s="5">
        <v>110.21841666666666</v>
      </c>
      <c r="F45" s="5">
        <v>28.900555555555563</v>
      </c>
      <c r="G45" s="6">
        <v>41.483146889702034</v>
      </c>
      <c r="H45" s="6">
        <v>4.1944444444444446</v>
      </c>
      <c r="I45" s="2"/>
      <c r="J45" s="2"/>
      <c r="K45" s="2"/>
      <c r="L45" s="2"/>
      <c r="M45" s="2"/>
      <c r="N45" s="2"/>
      <c r="O45" s="2"/>
    </row>
    <row r="46" spans="1:15" x14ac:dyDescent="0.15">
      <c r="A46" s="1">
        <v>45923</v>
      </c>
      <c r="B46" t="s">
        <v>2</v>
      </c>
      <c r="C46" s="5">
        <v>117.89763779527559</v>
      </c>
      <c r="D46" s="3">
        <v>8.1873359580052485E-2</v>
      </c>
      <c r="E46" s="5">
        <v>66.985047244094531</v>
      </c>
      <c r="F46" s="5">
        <v>23.455905511811022</v>
      </c>
      <c r="G46" s="6">
        <v>34.089765578040499</v>
      </c>
      <c r="H46" s="6">
        <v>2.9763779527559056</v>
      </c>
      <c r="I46" s="2"/>
      <c r="J46" s="2"/>
      <c r="K46" s="2"/>
      <c r="L46" s="2"/>
      <c r="M46" s="2"/>
      <c r="N46" s="2"/>
      <c r="O46" s="2"/>
    </row>
    <row r="47" spans="1:15" x14ac:dyDescent="0.15">
      <c r="A47" s="1">
        <v>45923</v>
      </c>
      <c r="B47" t="s">
        <v>3</v>
      </c>
      <c r="C47" s="5">
        <v>215.75</v>
      </c>
      <c r="D47" s="3">
        <v>0.14982638888888891</v>
      </c>
      <c r="E47" s="5">
        <v>143.63875000000007</v>
      </c>
      <c r="F47" s="5">
        <v>38.538333333333327</v>
      </c>
      <c r="G47" s="6">
        <v>39.945886442641971</v>
      </c>
      <c r="H47" s="6">
        <v>5.25</v>
      </c>
      <c r="I47" s="2"/>
      <c r="J47" s="2"/>
      <c r="K47" s="2"/>
      <c r="L47" s="2"/>
      <c r="M47" s="2"/>
      <c r="N47" s="2"/>
      <c r="O47" s="2"/>
    </row>
    <row r="48" spans="1:15" x14ac:dyDescent="0.15">
      <c r="A48" s="1">
        <v>45924</v>
      </c>
      <c r="B48" t="s">
        <v>2</v>
      </c>
      <c r="C48" s="5">
        <v>119.77952755905511</v>
      </c>
      <c r="D48" s="3">
        <v>8.3180227471566046E-2</v>
      </c>
      <c r="E48" s="5">
        <v>63.092204724409427</v>
      </c>
      <c r="F48" s="5">
        <v>21.797244094488207</v>
      </c>
      <c r="G48" s="6">
        <v>31.604167762292917</v>
      </c>
      <c r="H48" s="6">
        <v>2.8425196850393699</v>
      </c>
      <c r="I48" s="2"/>
      <c r="J48" s="2"/>
      <c r="K48" s="2"/>
      <c r="L48" s="2"/>
      <c r="M48" s="2"/>
      <c r="N48" s="2"/>
      <c r="O48" s="2"/>
    </row>
    <row r="49" spans="1:15" x14ac:dyDescent="0.15">
      <c r="A49" s="1">
        <v>45924</v>
      </c>
      <c r="B49" t="s">
        <v>3</v>
      </c>
      <c r="C49" s="5">
        <v>161.86111111111111</v>
      </c>
      <c r="D49" s="3">
        <v>0.11240354938271604</v>
      </c>
      <c r="E49" s="5">
        <v>112.77919444444451</v>
      </c>
      <c r="F49" s="5">
        <v>29.235277777777767</v>
      </c>
      <c r="G49" s="6">
        <v>41.805913849322152</v>
      </c>
      <c r="H49" s="6">
        <v>4.2222222222222223</v>
      </c>
      <c r="I49" s="2"/>
      <c r="J49" s="2"/>
      <c r="K49" s="2"/>
      <c r="L49" s="2"/>
      <c r="M49" s="2"/>
      <c r="N49" s="2"/>
      <c r="O49" s="2"/>
    </row>
    <row r="50" spans="1:15" x14ac:dyDescent="0.15">
      <c r="A50" s="1">
        <v>45925</v>
      </c>
      <c r="B50" t="s">
        <v>2</v>
      </c>
      <c r="C50" s="5">
        <v>123.50393700787401</v>
      </c>
      <c r="D50" s="3">
        <v>8.576662292213473E-2</v>
      </c>
      <c r="E50" s="5">
        <v>65.692771653543318</v>
      </c>
      <c r="F50" s="5">
        <v>23.030157480314955</v>
      </c>
      <c r="G50" s="6">
        <v>31.914499203060252</v>
      </c>
      <c r="H50" s="6">
        <v>2.8818897637795278</v>
      </c>
      <c r="I50" s="2"/>
      <c r="J50" s="2"/>
      <c r="K50" s="2"/>
      <c r="L50" s="2"/>
      <c r="M50" s="2"/>
      <c r="N50" s="2"/>
      <c r="O50" s="2"/>
    </row>
    <row r="51" spans="1:15" x14ac:dyDescent="0.15">
      <c r="A51" s="1">
        <v>45925</v>
      </c>
      <c r="B51" t="s">
        <v>3</v>
      </c>
      <c r="C51" s="5">
        <v>171.91666666666666</v>
      </c>
      <c r="D51" s="3">
        <v>0.11938657407407406</v>
      </c>
      <c r="E51" s="5">
        <v>123.98825000000005</v>
      </c>
      <c r="F51" s="5">
        <v>30.338611111111113</v>
      </c>
      <c r="G51" s="6">
        <v>43.272680562287945</v>
      </c>
      <c r="H51" s="6">
        <v>4.6388888888888893</v>
      </c>
      <c r="I51" s="2"/>
      <c r="J51" s="2"/>
      <c r="K51" s="2"/>
      <c r="L51" s="2"/>
      <c r="M51" s="2"/>
      <c r="N51" s="2"/>
      <c r="O51" s="2"/>
    </row>
    <row r="52" spans="1:15" x14ac:dyDescent="0.15">
      <c r="A52" s="1">
        <v>45926</v>
      </c>
      <c r="B52" t="s">
        <v>2</v>
      </c>
      <c r="C52" s="5">
        <v>124.50393700787401</v>
      </c>
      <c r="D52" s="3">
        <v>8.6461067366579172E-2</v>
      </c>
      <c r="E52" s="5">
        <v>68.390125984251924</v>
      </c>
      <c r="F52" s="5">
        <v>23.680787401574815</v>
      </c>
      <c r="G52" s="6">
        <v>32.958054642043997</v>
      </c>
      <c r="H52" s="6">
        <v>2.9133858267716537</v>
      </c>
      <c r="I52" s="2"/>
      <c r="J52" s="2"/>
      <c r="K52" s="2"/>
      <c r="L52" s="2"/>
      <c r="M52" s="2"/>
      <c r="N52" s="2"/>
      <c r="O52" s="2"/>
    </row>
    <row r="53" spans="1:15" x14ac:dyDescent="0.15">
      <c r="A53" s="1">
        <v>45926</v>
      </c>
      <c r="B53" t="s">
        <v>3</v>
      </c>
      <c r="C53" s="5">
        <v>155.19444444444446</v>
      </c>
      <c r="D53" s="3">
        <v>0.10777391975308644</v>
      </c>
      <c r="E53" s="5">
        <v>102.38852777777778</v>
      </c>
      <c r="F53" s="5">
        <v>28.67805555555557</v>
      </c>
      <c r="G53" s="6">
        <v>39.584610703418655</v>
      </c>
      <c r="H53" s="6">
        <v>4.1111111111111107</v>
      </c>
      <c r="I53" s="2"/>
      <c r="J53" s="2"/>
      <c r="K53" s="2"/>
      <c r="L53" s="2"/>
      <c r="M53" s="2"/>
      <c r="N53" s="2"/>
      <c r="O53" s="2"/>
    </row>
    <row r="54" spans="1:15" x14ac:dyDescent="0.15">
      <c r="A54" s="1">
        <v>45927</v>
      </c>
      <c r="B54" t="s">
        <v>2</v>
      </c>
      <c r="C54" s="5">
        <v>131.43307086614172</v>
      </c>
      <c r="D54" s="4">
        <v>9.1272965879265089E-2</v>
      </c>
      <c r="E54" s="5">
        <v>76.294960629921249</v>
      </c>
      <c r="F54" s="5">
        <v>25.86669291338583</v>
      </c>
      <c r="G54" s="5">
        <v>34.83</v>
      </c>
      <c r="H54" s="5">
        <v>3.2125984251968505</v>
      </c>
    </row>
    <row r="55" spans="1:15" x14ac:dyDescent="0.15">
      <c r="A55" s="1">
        <v>45927</v>
      </c>
      <c r="B55" t="s">
        <v>3</v>
      </c>
      <c r="C55" s="5">
        <v>161.44444444444446</v>
      </c>
      <c r="D55" s="4">
        <v>0.112114197530864</v>
      </c>
      <c r="E55" s="5">
        <v>115.24166666666666</v>
      </c>
      <c r="F55" s="5">
        <v>27.656388888888888</v>
      </c>
      <c r="G55" s="5">
        <v>42.828974535443912</v>
      </c>
      <c r="H55" s="5">
        <v>4.333333333333333</v>
      </c>
    </row>
    <row r="56" spans="1:15" x14ac:dyDescent="0.15">
      <c r="A56" s="1">
        <v>45928</v>
      </c>
      <c r="B56" t="s">
        <v>2</v>
      </c>
      <c r="C56" s="5">
        <f>15788/127</f>
        <v>124.31496062992126</v>
      </c>
      <c r="D56" s="4">
        <f t="shared" ref="D56:D61" si="0">C56/(24*60)</f>
        <v>8.6329833770778658E-2</v>
      </c>
      <c r="E56" s="5">
        <f>8093.57/127</f>
        <v>63.728897637795271</v>
      </c>
      <c r="F56" s="5">
        <f>3124.72/127</f>
        <v>24.604094488188974</v>
      </c>
      <c r="G56" s="5">
        <f>9093.57/(15788/60)</f>
        <v>34.558791487205475</v>
      </c>
      <c r="H56" s="5">
        <f>386/127</f>
        <v>3.0393700787401574</v>
      </c>
    </row>
    <row r="57" spans="1:15" x14ac:dyDescent="0.15">
      <c r="A57" s="1">
        <v>45928</v>
      </c>
      <c r="B57" t="s">
        <v>3</v>
      </c>
      <c r="C57" s="5">
        <f>7618/36</f>
        <v>211.61111111111111</v>
      </c>
      <c r="D57" s="4">
        <f t="shared" si="0"/>
        <v>0.14695216049382717</v>
      </c>
      <c r="E57" s="5">
        <f>5876.99/36</f>
        <v>163.2497222222222</v>
      </c>
      <c r="F57" s="5">
        <f>1432.67/36</f>
        <v>39.796388888888892</v>
      </c>
      <c r="G57" s="5">
        <f>5876.99/(7618/60)</f>
        <v>46.28766080336046</v>
      </c>
      <c r="H57" s="5">
        <f>206/36</f>
        <v>5.7222222222222223</v>
      </c>
    </row>
    <row r="58" spans="1:15" x14ac:dyDescent="0.15">
      <c r="A58" s="1">
        <v>45929</v>
      </c>
      <c r="B58" t="s">
        <v>2</v>
      </c>
      <c r="C58" s="5">
        <f>15852/127</f>
        <v>124.81889763779527</v>
      </c>
      <c r="D58" s="4">
        <f t="shared" si="0"/>
        <v>8.667979002624672E-2</v>
      </c>
      <c r="E58" s="5">
        <f>9170.63/127</f>
        <v>72.209685039370072</v>
      </c>
      <c r="F58" s="5">
        <f>3207.95/127</f>
        <v>25.259448818897635</v>
      </c>
      <c r="G58" s="5">
        <f>9170.63/(15852/60)</f>
        <v>34.71093868281605</v>
      </c>
      <c r="H58" s="5">
        <f>373/127</f>
        <v>2.9370078740157481</v>
      </c>
    </row>
    <row r="59" spans="1:15" x14ac:dyDescent="0.15">
      <c r="A59" s="1">
        <v>45929</v>
      </c>
      <c r="B59" t="s">
        <v>3</v>
      </c>
      <c r="C59" s="5">
        <f>7057/36</f>
        <v>196.02777777777777</v>
      </c>
      <c r="D59" s="4">
        <f t="shared" si="0"/>
        <v>0.1361304012345679</v>
      </c>
      <c r="E59" s="5">
        <f>4957.18/36</f>
        <v>137.69944444444445</v>
      </c>
      <c r="F59" s="5">
        <f>1241.19/36</f>
        <v>34.477499999999999</v>
      </c>
      <c r="G59" s="5">
        <f>4957.18/(7057/60)</f>
        <v>42.146917953804738</v>
      </c>
      <c r="H59" s="5">
        <f>189/36</f>
        <v>5.25</v>
      </c>
    </row>
    <row r="60" spans="1:15" x14ac:dyDescent="0.15">
      <c r="A60" s="1">
        <v>45930</v>
      </c>
      <c r="B60" t="s">
        <v>2</v>
      </c>
      <c r="C60" s="5">
        <f>19745/127</f>
        <v>155.4724409448819</v>
      </c>
      <c r="D60" s="4">
        <f t="shared" si="0"/>
        <v>0.1079669728783902</v>
      </c>
      <c r="E60" s="5">
        <f>10978.97/127</f>
        <v>86.448582677165348</v>
      </c>
      <c r="F60" s="5">
        <f>3797.81/127</f>
        <v>29.904015748031494</v>
      </c>
      <c r="G60" s="5">
        <f>10978.91/(19745/60)</f>
        <v>33.362096733350214</v>
      </c>
      <c r="H60" s="5">
        <f>475/127</f>
        <v>3.7401574803149606</v>
      </c>
    </row>
    <row r="61" spans="1:15" x14ac:dyDescent="0.15">
      <c r="A61" s="1">
        <v>45930</v>
      </c>
      <c r="B61" t="s">
        <v>3</v>
      </c>
      <c r="C61" s="5">
        <f>7675/36</f>
        <v>213.19444444444446</v>
      </c>
      <c r="D61" s="4">
        <f t="shared" si="0"/>
        <v>0.1480516975308642</v>
      </c>
      <c r="E61" s="5">
        <f>5463.25/36</f>
        <v>151.75694444444446</v>
      </c>
      <c r="F61" s="5">
        <f>1342.68/36</f>
        <v>37.296666666666667</v>
      </c>
      <c r="G61" s="5">
        <f>5463.25/(7675/60)</f>
        <v>42.709446254071658</v>
      </c>
      <c r="H61" s="5">
        <f>218/36</f>
        <v>6.0555555555555554</v>
      </c>
    </row>
    <row r="62" spans="1:15" x14ac:dyDescent="0.15">
      <c r="A62" s="1">
        <v>45931</v>
      </c>
      <c r="B62" t="s">
        <v>2</v>
      </c>
      <c r="C62" s="5">
        <f>16799/127</f>
        <v>132.2755905511811</v>
      </c>
      <c r="D62" s="4">
        <f t="shared" ref="D62:D67" si="1">C62/(24*60)</f>
        <v>9.1858048993875757E-2</v>
      </c>
      <c r="E62" s="5">
        <f>10368.41/127</f>
        <v>81.641023622047243</v>
      </c>
      <c r="F62" s="5">
        <f>3574.11/127</f>
        <v>28.142598425196852</v>
      </c>
      <c r="G62" s="5">
        <f>10368.41/(16799/60)</f>
        <v>37.032240014286565</v>
      </c>
      <c r="H62" s="5">
        <f>436/127</f>
        <v>3.4330708661417324</v>
      </c>
    </row>
    <row r="63" spans="1:15" x14ac:dyDescent="0.15">
      <c r="A63" s="1">
        <v>45931</v>
      </c>
      <c r="B63" t="s">
        <v>3</v>
      </c>
      <c r="C63" s="5">
        <f>6591/36</f>
        <v>183.08333333333334</v>
      </c>
      <c r="D63" s="4">
        <f t="shared" si="1"/>
        <v>0.12714120370370371</v>
      </c>
      <c r="E63" s="5">
        <f>4791.76/36</f>
        <v>133.10444444444445</v>
      </c>
      <c r="F63" s="5">
        <f>1184.73/36</f>
        <v>32.909166666666664</v>
      </c>
      <c r="G63" s="5">
        <f>4791.76/(6591/60)</f>
        <v>43.620937642239419</v>
      </c>
      <c r="H63" s="5">
        <f>178/36</f>
        <v>4.9444444444444446</v>
      </c>
    </row>
    <row r="64" spans="1:15" x14ac:dyDescent="0.15">
      <c r="A64" s="1">
        <v>45932</v>
      </c>
      <c r="B64" t="s">
        <v>2</v>
      </c>
      <c r="C64" s="5">
        <f>15688/127</f>
        <v>123.5275590551181</v>
      </c>
      <c r="D64" s="4">
        <f t="shared" si="1"/>
        <v>8.5783027121609789E-2</v>
      </c>
      <c r="E64" s="5">
        <f>9431.59/127</f>
        <v>74.264488188976372</v>
      </c>
      <c r="F64" s="5">
        <f>3228.21/127</f>
        <v>25.418976377952756</v>
      </c>
      <c r="G64" s="5">
        <f>9431.59/(15688/60)</f>
        <v>36.071863844977059</v>
      </c>
      <c r="H64" s="5">
        <f>383/127</f>
        <v>3.015748031496063</v>
      </c>
    </row>
    <row r="65" spans="1:8" x14ac:dyDescent="0.15">
      <c r="A65" s="1">
        <v>45932</v>
      </c>
      <c r="B65" t="s">
        <v>3</v>
      </c>
      <c r="C65" s="5">
        <f>6191/36</f>
        <v>171.97222222222223</v>
      </c>
      <c r="D65" s="4">
        <f t="shared" si="1"/>
        <v>0.11942515432098766</v>
      </c>
      <c r="E65" s="5">
        <f>4692.01/36</f>
        <v>130.33361111111111</v>
      </c>
      <c r="F65" s="5">
        <f>1213.94/36</f>
        <v>33.720555555555556</v>
      </c>
      <c r="G65" s="5">
        <f>4692.01/(6191/60)</f>
        <v>45.472556937489905</v>
      </c>
      <c r="H65" s="5">
        <f>153/36</f>
        <v>4.25</v>
      </c>
    </row>
    <row r="66" spans="1:8" x14ac:dyDescent="0.15">
      <c r="A66" s="1">
        <v>45933</v>
      </c>
      <c r="B66" t="s">
        <v>2</v>
      </c>
      <c r="C66" s="5">
        <f>15318/127</f>
        <v>120.61417322834646</v>
      </c>
      <c r="D66" s="4">
        <f t="shared" si="1"/>
        <v>8.3759842519685046E-2</v>
      </c>
      <c r="E66" s="5">
        <f>9382.78/127</f>
        <v>73.880157480314963</v>
      </c>
      <c r="F66" s="5">
        <f>3200.49/127</f>
        <v>25.20070866141732</v>
      </c>
      <c r="G66" s="5">
        <f>9382.779/(15318/60)</f>
        <v>36.751974148061102</v>
      </c>
      <c r="H66" s="5">
        <f>370/127</f>
        <v>2.9133858267716537</v>
      </c>
    </row>
    <row r="67" spans="1:8" x14ac:dyDescent="0.15">
      <c r="A67" s="1">
        <v>45933</v>
      </c>
      <c r="B67" t="s">
        <v>3</v>
      </c>
      <c r="C67" s="5">
        <f>4538/36</f>
        <v>126.05555555555556</v>
      </c>
      <c r="D67" s="4">
        <f t="shared" si="1"/>
        <v>8.7538580246913578E-2</v>
      </c>
      <c r="E67" s="5">
        <f>3397.12/36</f>
        <v>94.364444444444445</v>
      </c>
      <c r="F67" s="5">
        <f>850.53/36</f>
        <v>23.625833333333333</v>
      </c>
      <c r="G67" s="5">
        <f>3397.12/(4538/60)</f>
        <v>44.915645658880557</v>
      </c>
      <c r="H67" s="5">
        <f>116/36</f>
        <v>3.2222222222222223</v>
      </c>
    </row>
    <row r="68" spans="1:8" x14ac:dyDescent="0.15">
      <c r="A68" s="1">
        <v>45934</v>
      </c>
      <c r="B68" t="s">
        <v>2</v>
      </c>
      <c r="C68" s="5">
        <f>14070/127</f>
        <v>110.78740157480316</v>
      </c>
      <c r="D68" s="4">
        <f t="shared" ref="D68:D73" si="2">C68/(24*60)</f>
        <v>7.693569553805775E-2</v>
      </c>
      <c r="E68" s="5">
        <f>8238.48/127</f>
        <v>64.869921259842513</v>
      </c>
      <c r="F68" s="5">
        <f>2810.88/127</f>
        <v>22.132913385826772</v>
      </c>
      <c r="G68" s="5">
        <f>8238.48/(14070/60)</f>
        <v>35.132110874200421</v>
      </c>
      <c r="H68" s="5">
        <f>354/127</f>
        <v>2.7874015748031495</v>
      </c>
    </row>
    <row r="69" spans="1:8" x14ac:dyDescent="0.15">
      <c r="A69" s="1">
        <v>45934</v>
      </c>
      <c r="B69" t="s">
        <v>3</v>
      </c>
      <c r="C69" s="5">
        <f>5345/36</f>
        <v>148.47222222222223</v>
      </c>
      <c r="D69" s="4">
        <f t="shared" si="2"/>
        <v>0.10310570987654322</v>
      </c>
      <c r="E69" s="5">
        <f>3987.85/36</f>
        <v>110.77361111111111</v>
      </c>
      <c r="F69" s="5">
        <f>964.79/36</f>
        <v>26.799722222222222</v>
      </c>
      <c r="G69" s="5">
        <f>3987.85/(5345/60)</f>
        <v>44.765388213283444</v>
      </c>
      <c r="H69" s="5">
        <f>141/36</f>
        <v>3.9166666666666665</v>
      </c>
    </row>
    <row r="70" spans="1:8" x14ac:dyDescent="0.15">
      <c r="A70" s="1">
        <v>45935</v>
      </c>
      <c r="B70" t="s">
        <v>2</v>
      </c>
      <c r="C70" s="5">
        <f>15681/127</f>
        <v>123.4724409448819</v>
      </c>
      <c r="D70" s="4">
        <f t="shared" si="2"/>
        <v>8.574475065616799E-2</v>
      </c>
      <c r="E70" s="5">
        <f>9133.79/127</f>
        <v>71.919606299212603</v>
      </c>
      <c r="F70" s="5">
        <f>3141.45/127</f>
        <v>24.735826771653542</v>
      </c>
      <c r="G70" s="5">
        <f>9133.79/(15681/60)</f>
        <v>34.948498182513873</v>
      </c>
      <c r="H70" s="5">
        <f>385/127</f>
        <v>3.0314960629921259</v>
      </c>
    </row>
    <row r="71" spans="1:8" x14ac:dyDescent="0.15">
      <c r="A71" s="1">
        <v>45935</v>
      </c>
      <c r="B71" t="s">
        <v>3</v>
      </c>
      <c r="C71" s="5">
        <f>4430/36</f>
        <v>123.05555555555556</v>
      </c>
      <c r="D71" s="4">
        <f t="shared" si="2"/>
        <v>8.5455246913580252E-2</v>
      </c>
      <c r="E71" s="5">
        <f>3646.37/36</f>
        <v>101.28805555555556</v>
      </c>
      <c r="F71" s="5">
        <f>912.3/36</f>
        <v>25.341666666666665</v>
      </c>
      <c r="G71" s="5">
        <f>3646.37/(4430/60)</f>
        <v>49.386501128668172</v>
      </c>
      <c r="H71" s="5">
        <f>114/36</f>
        <v>3.1666666666666665</v>
      </c>
    </row>
    <row r="72" spans="1:8" x14ac:dyDescent="0.15">
      <c r="A72" s="1">
        <v>45936</v>
      </c>
      <c r="B72" t="s">
        <v>2</v>
      </c>
      <c r="C72" s="5">
        <f>14327/127</f>
        <v>112.81102362204724</v>
      </c>
      <c r="D72" s="4">
        <f t="shared" si="2"/>
        <v>7.8340988626421693E-2</v>
      </c>
      <c r="E72" s="5">
        <f>8192.95/127</f>
        <v>64.511417322834646</v>
      </c>
      <c r="F72" s="5">
        <f>2820.79/127</f>
        <v>22.210944881889763</v>
      </c>
      <c r="G72" s="5">
        <f>8192.98/(14327/60)</f>
        <v>34.311356180637958</v>
      </c>
      <c r="H72" s="5">
        <f>312/127</f>
        <v>2.4566929133858268</v>
      </c>
    </row>
    <row r="73" spans="1:8" x14ac:dyDescent="0.15">
      <c r="A73" s="1">
        <v>45936</v>
      </c>
      <c r="B73" t="s">
        <v>3</v>
      </c>
      <c r="C73" s="5">
        <f>3149/36</f>
        <v>87.472222222222229</v>
      </c>
      <c r="D73" s="4">
        <f t="shared" si="2"/>
        <v>6.0744598765432103E-2</v>
      </c>
      <c r="E73" s="5">
        <f>2444.91/36</f>
        <v>67.914166666666659</v>
      </c>
      <c r="F73" s="5">
        <f>612.24/36</f>
        <v>17.006666666666668</v>
      </c>
      <c r="G73" s="5">
        <f>2449.15/(3149/60)</f>
        <v>46.665290568434422</v>
      </c>
      <c r="H73" s="5">
        <f>82/36</f>
        <v>2.2777777777777777</v>
      </c>
    </row>
    <row r="74" spans="1:8" x14ac:dyDescent="0.15">
      <c r="A74" s="1">
        <v>45937</v>
      </c>
      <c r="B74" t="s">
        <v>2</v>
      </c>
      <c r="C74" s="5">
        <f>16951/126</f>
        <v>134.53174603174602</v>
      </c>
      <c r="D74" s="4">
        <f t="shared" ref="D74:D81" si="3">C74/(24*60)</f>
        <v>9.3424823633156961E-2</v>
      </c>
      <c r="E74" s="5">
        <f>10341.38/126</f>
        <v>82.074444444444438</v>
      </c>
      <c r="F74" s="5">
        <f>3562.56/126</f>
        <v>28.274285714285714</v>
      </c>
      <c r="G74" s="5">
        <f>10341.38/(16951/60)</f>
        <v>36.60449531001121</v>
      </c>
      <c r="H74" s="5">
        <v>3.1428571428571428</v>
      </c>
    </row>
    <row r="75" spans="1:8" x14ac:dyDescent="0.15">
      <c r="A75" s="1">
        <v>45937</v>
      </c>
      <c r="B75" t="s">
        <v>3</v>
      </c>
      <c r="C75" s="5">
        <f>5616/36</f>
        <v>156</v>
      </c>
      <c r="D75" s="4">
        <f t="shared" si="3"/>
        <v>0.10833333333333334</v>
      </c>
      <c r="E75" s="5">
        <f>4056.06/36</f>
        <v>112.66833333333334</v>
      </c>
      <c r="F75" s="5">
        <f>1094.62/36</f>
        <v>30.406111111111109</v>
      </c>
      <c r="G75" s="5">
        <f>4056.06/(5616/60)</f>
        <v>43.333974358974359</v>
      </c>
      <c r="H75" s="5">
        <f>143/36</f>
        <v>3.9722222222222223</v>
      </c>
    </row>
    <row r="76" spans="1:8" x14ac:dyDescent="0.15">
      <c r="A76" s="1">
        <v>45938</v>
      </c>
      <c r="B76" t="s">
        <v>2</v>
      </c>
      <c r="C76" s="5">
        <f>19392/126</f>
        <v>153.9047619047619</v>
      </c>
      <c r="D76" s="4">
        <f t="shared" si="3"/>
        <v>0.10687830687830688</v>
      </c>
      <c r="E76" s="5">
        <f>11559.41/126</f>
        <v>91.741349206349199</v>
      </c>
      <c r="F76" s="5">
        <f>4044.18/126</f>
        <v>32.096666666666664</v>
      </c>
      <c r="G76" s="5">
        <f>11559.41/(19392/60)</f>
        <v>35.765501237623766</v>
      </c>
      <c r="H76" s="5">
        <f>463/126</f>
        <v>3.6746031746031744</v>
      </c>
    </row>
    <row r="77" spans="1:8" x14ac:dyDescent="0.15">
      <c r="A77" s="1">
        <v>45938</v>
      </c>
      <c r="B77" t="s">
        <v>3</v>
      </c>
      <c r="C77" s="5">
        <f>7192/36</f>
        <v>199.77777777777777</v>
      </c>
      <c r="D77" s="4">
        <f t="shared" si="3"/>
        <v>0.13873456790123456</v>
      </c>
      <c r="E77" s="5">
        <f>5580.13/36</f>
        <v>155.00361111111113</v>
      </c>
      <c r="F77" s="5">
        <f>1362.14/36</f>
        <v>37.837222222222223</v>
      </c>
      <c r="G77" s="5">
        <f>5580.13/(7192/60)</f>
        <v>46.552808676307009</v>
      </c>
      <c r="H77" s="5">
        <f>192/36</f>
        <v>5.333333333333333</v>
      </c>
    </row>
    <row r="78" spans="1:8" x14ac:dyDescent="0.15">
      <c r="A78" s="1">
        <v>45939</v>
      </c>
      <c r="B78" t="s">
        <v>2</v>
      </c>
      <c r="C78" s="5">
        <f>18835/126</f>
        <v>149.48412698412699</v>
      </c>
      <c r="D78" s="4">
        <f t="shared" si="3"/>
        <v>0.10380842151675486</v>
      </c>
      <c r="E78" s="5">
        <f>10987.23/126</f>
        <v>87.200238095238092</v>
      </c>
      <c r="F78" s="5">
        <f>3818.52/126</f>
        <v>30.305714285714284</v>
      </c>
      <c r="G78" s="5">
        <f>10987.23/(18835/60)</f>
        <v>35.000467215290676</v>
      </c>
      <c r="H78" s="5">
        <f>460/126</f>
        <v>3.6507936507936507</v>
      </c>
    </row>
    <row r="79" spans="1:8" x14ac:dyDescent="0.15">
      <c r="A79" s="1">
        <v>45939</v>
      </c>
      <c r="B79" t="s">
        <v>3</v>
      </c>
      <c r="C79" s="5">
        <f>7356/36</f>
        <v>204.33333333333334</v>
      </c>
      <c r="D79" s="4">
        <f t="shared" si="3"/>
        <v>0.14189814814814816</v>
      </c>
      <c r="E79" s="5">
        <f>5141.28/36</f>
        <v>142.81333333333333</v>
      </c>
      <c r="F79" s="5">
        <f>1326.75/36</f>
        <v>36.854166666666664</v>
      </c>
      <c r="G79" s="5">
        <f>5141.28/(7356/60)</f>
        <v>41.935399673735724</v>
      </c>
      <c r="H79" s="5">
        <f>179/36</f>
        <v>4.9722222222222223</v>
      </c>
    </row>
    <row r="80" spans="1:8" x14ac:dyDescent="0.15">
      <c r="A80" s="1">
        <v>45940</v>
      </c>
      <c r="B80" t="s">
        <v>2</v>
      </c>
      <c r="C80" s="5">
        <f>20047/126</f>
        <v>159.10317460317461</v>
      </c>
      <c r="D80" s="4">
        <f t="shared" si="3"/>
        <v>0.11048831569664903</v>
      </c>
      <c r="E80" s="5">
        <f>10256.78/126</f>
        <v>81.403015873015875</v>
      </c>
      <c r="F80" s="5">
        <f>3626.33/126</f>
        <v>28.780396825396824</v>
      </c>
      <c r="G80" s="5">
        <f>10256.78/(20047/60)</f>
        <v>30.698199231805258</v>
      </c>
      <c r="H80" s="5">
        <f>440/126</f>
        <v>3.4920634920634921</v>
      </c>
    </row>
    <row r="81" spans="1:8" x14ac:dyDescent="0.15">
      <c r="A81" s="1">
        <v>45940</v>
      </c>
      <c r="B81" t="s">
        <v>3</v>
      </c>
      <c r="C81" s="5">
        <f>7592/36</f>
        <v>210.88888888888889</v>
      </c>
      <c r="D81" s="4">
        <f t="shared" si="3"/>
        <v>0.14645061728395062</v>
      </c>
      <c r="E81" s="5">
        <f>5154.54/36</f>
        <v>143.18166666666667</v>
      </c>
      <c r="F81" s="5">
        <f>1307.95/36</f>
        <v>36.331944444444446</v>
      </c>
      <c r="G81" s="5">
        <f>5154.54/(7592/60)</f>
        <v>40.736617492096947</v>
      </c>
      <c r="H81" s="5">
        <f>191/36</f>
        <v>5.3055555555555554</v>
      </c>
    </row>
    <row r="82" spans="1:8" x14ac:dyDescent="0.15">
      <c r="A82" s="1">
        <v>45941</v>
      </c>
      <c r="B82" t="s">
        <v>2</v>
      </c>
      <c r="C82" s="5">
        <f>18946/126</f>
        <v>150.36507936507937</v>
      </c>
      <c r="D82" s="4">
        <f t="shared" ref="D82:D87" si="4">C82/(24*60)</f>
        <v>0.10442019400352734</v>
      </c>
      <c r="E82" s="5">
        <f>10508.12/126</f>
        <v>83.39777777777779</v>
      </c>
      <c r="F82" s="5">
        <f>3652.19/126</f>
        <v>28.985634920634922</v>
      </c>
      <c r="G82" s="5">
        <f>10508.12/(18946/60)</f>
        <v>33.278116752876599</v>
      </c>
      <c r="H82" s="5">
        <v>3.5396825396825395</v>
      </c>
    </row>
    <row r="83" spans="1:8" x14ac:dyDescent="0.15">
      <c r="A83" s="1">
        <v>45941</v>
      </c>
      <c r="B83" t="s">
        <v>3</v>
      </c>
      <c r="C83" s="5">
        <f>7009/36</f>
        <v>194.69444444444446</v>
      </c>
      <c r="D83" s="4">
        <f t="shared" si="4"/>
        <v>0.13520447530864199</v>
      </c>
      <c r="E83" s="5">
        <f>5191.68/36</f>
        <v>144.21333333333334</v>
      </c>
      <c r="F83" s="5">
        <f>1371.67/36</f>
        <v>38.101944444444449</v>
      </c>
      <c r="G83" s="5">
        <f>5191.68/(7009/60)</f>
        <v>44.442973320017124</v>
      </c>
      <c r="H83" s="5">
        <f>189/36</f>
        <v>5.25</v>
      </c>
    </row>
    <row r="84" spans="1:8" x14ac:dyDescent="0.15">
      <c r="A84" s="1">
        <v>45942</v>
      </c>
      <c r="B84" t="s">
        <v>2</v>
      </c>
      <c r="C84" s="5">
        <f>16008/126</f>
        <v>127.04761904761905</v>
      </c>
      <c r="D84" s="4">
        <f t="shared" si="4"/>
        <v>8.8227513227513224E-2</v>
      </c>
      <c r="E84" s="5">
        <f>9225.03/126</f>
        <v>73.214523809523811</v>
      </c>
      <c r="F84" s="5">
        <f>3175.58/126</f>
        <v>25.203015873015872</v>
      </c>
      <c r="G84" s="5">
        <f>9225.03/(16008/60)</f>
        <v>34.576574212893554</v>
      </c>
      <c r="H84" s="5">
        <f>375/126</f>
        <v>2.9761904761904763</v>
      </c>
    </row>
    <row r="85" spans="1:8" x14ac:dyDescent="0.15">
      <c r="A85" s="1">
        <v>45942</v>
      </c>
      <c r="B85" t="s">
        <v>3</v>
      </c>
      <c r="C85" s="5">
        <f>5235/36</f>
        <v>145.41666666666666</v>
      </c>
      <c r="D85" s="4">
        <f t="shared" si="4"/>
        <v>0.10098379629629629</v>
      </c>
      <c r="E85" s="5">
        <f>3777.63/36</f>
        <v>104.93416666666667</v>
      </c>
      <c r="F85" s="5">
        <f>991.63/36</f>
        <v>27.545277777777777</v>
      </c>
      <c r="G85" s="5">
        <f>3777.63/(5235/60)</f>
        <v>43.296618911174789</v>
      </c>
      <c r="H85" s="5">
        <f>134/36</f>
        <v>3.7222222222222223</v>
      </c>
    </row>
    <row r="86" spans="1:8" x14ac:dyDescent="0.15">
      <c r="A86" s="1">
        <v>45943</v>
      </c>
      <c r="B86" t="s">
        <v>2</v>
      </c>
      <c r="C86" s="5">
        <f>15232/126</f>
        <v>120.88888888888889</v>
      </c>
      <c r="D86" s="4">
        <f t="shared" si="4"/>
        <v>8.3950617283950618E-2</v>
      </c>
      <c r="E86" s="5">
        <f>8434.09/126</f>
        <v>66.937222222222218</v>
      </c>
      <c r="F86" s="5">
        <f>2913.27/126</f>
        <v>23.121190476190478</v>
      </c>
      <c r="G86" s="5">
        <f>8434.09/(15232/60)</f>
        <v>33.222518382352938</v>
      </c>
      <c r="H86" s="5">
        <f>369/126</f>
        <v>2.9285714285714284</v>
      </c>
    </row>
    <row r="87" spans="1:8" x14ac:dyDescent="0.15">
      <c r="A87" s="1">
        <v>45943</v>
      </c>
      <c r="B87" t="s">
        <v>3</v>
      </c>
      <c r="C87" s="5">
        <f>6611/36</f>
        <v>183.63888888888889</v>
      </c>
      <c r="D87" s="4">
        <f t="shared" si="4"/>
        <v>0.12752700617283949</v>
      </c>
      <c r="E87" s="5">
        <f>4333.89/36</f>
        <v>120.38583333333334</v>
      </c>
      <c r="F87" s="5">
        <f>1107.18/36</f>
        <v>30.755000000000003</v>
      </c>
      <c r="G87" s="5">
        <f>4333.89/(6611/60)</f>
        <v>39.333444259567386</v>
      </c>
      <c r="H87" s="5">
        <f>169/36</f>
        <v>4.6944444444444446</v>
      </c>
    </row>
    <row r="88" spans="1:8" x14ac:dyDescent="0.15">
      <c r="A88" s="1">
        <v>45944</v>
      </c>
      <c r="B88" t="s">
        <v>2</v>
      </c>
      <c r="C88" s="5">
        <f>15417/126</f>
        <v>122.35714285714286</v>
      </c>
      <c r="D88" s="4">
        <f t="shared" ref="D88:D93" si="5">C88/(24*60)</f>
        <v>8.4970238095238099E-2</v>
      </c>
      <c r="E88" s="5">
        <f>8775.35/126</f>
        <v>69.645634920634919</v>
      </c>
      <c r="F88" s="5">
        <f>3053.72/126</f>
        <v>24.235873015873015</v>
      </c>
      <c r="G88" s="5">
        <f>8775.35/(15417/60)</f>
        <v>34.15197509243044</v>
      </c>
      <c r="H88" s="5">
        <f>378/126</f>
        <v>3</v>
      </c>
    </row>
    <row r="89" spans="1:8" x14ac:dyDescent="0.15">
      <c r="A89" s="1">
        <v>45944</v>
      </c>
      <c r="B89" t="s">
        <v>3</v>
      </c>
      <c r="C89" s="5">
        <f>6107/36</f>
        <v>169.63888888888889</v>
      </c>
      <c r="D89" s="4">
        <f t="shared" si="5"/>
        <v>0.11780478395061728</v>
      </c>
      <c r="E89" s="5">
        <f>4056.73/36</f>
        <v>112.68694444444445</v>
      </c>
      <c r="F89" s="5">
        <f>1081.36/36</f>
        <v>30.037777777777777</v>
      </c>
      <c r="G89" s="5">
        <f>4056.73/(6107/60)</f>
        <v>39.856525298837404</v>
      </c>
      <c r="H89" s="5">
        <f>160/36</f>
        <v>4.4444444444444446</v>
      </c>
    </row>
    <row r="90" spans="1:8" x14ac:dyDescent="0.15">
      <c r="A90" s="1">
        <v>45945</v>
      </c>
      <c r="B90" t="s">
        <v>2</v>
      </c>
      <c r="C90" s="5">
        <f>15812/126</f>
        <v>125.49206349206349</v>
      </c>
      <c r="D90" s="4">
        <f t="shared" si="5"/>
        <v>8.7147266313932978E-2</v>
      </c>
      <c r="E90" s="5">
        <f>8539.95/126</f>
        <v>67.777380952380952</v>
      </c>
      <c r="F90" s="5">
        <f>3006.5/126</f>
        <v>23.861111111111111</v>
      </c>
      <c r="G90" s="5">
        <f>8539.95/(15812/60)</f>
        <v>32.405578041993422</v>
      </c>
      <c r="H90" s="5">
        <f>375/126</f>
        <v>2.9761904761904763</v>
      </c>
    </row>
    <row r="91" spans="1:8" x14ac:dyDescent="0.15">
      <c r="A91" s="1">
        <v>45945</v>
      </c>
      <c r="B91" t="s">
        <v>3</v>
      </c>
      <c r="C91" s="5">
        <f>6187/36</f>
        <v>171.86111111111111</v>
      </c>
      <c r="D91" s="4">
        <f t="shared" si="5"/>
        <v>0.11934799382716049</v>
      </c>
      <c r="E91" s="5">
        <f>4360.35/36</f>
        <v>121.12083333333334</v>
      </c>
      <c r="F91" s="5">
        <f>1112.59/36</f>
        <v>30.905277777777776</v>
      </c>
      <c r="G91" s="5">
        <f>4360.35/(6187/60)</f>
        <v>42.285598836269607</v>
      </c>
      <c r="H91" s="5">
        <f>152/36</f>
        <v>4.2222222222222223</v>
      </c>
    </row>
    <row r="92" spans="1:8" x14ac:dyDescent="0.15">
      <c r="A92" s="1">
        <v>45946</v>
      </c>
      <c r="B92" t="s">
        <v>2</v>
      </c>
      <c r="C92" s="5">
        <f>15159/126</f>
        <v>120.30952380952381</v>
      </c>
      <c r="D92" s="4">
        <f t="shared" si="5"/>
        <v>8.3548280423280427E-2</v>
      </c>
      <c r="E92" s="5">
        <f>8637.61/126</f>
        <v>68.552460317460316</v>
      </c>
      <c r="F92" s="5">
        <f>2985.93/126</f>
        <v>23.697857142857142</v>
      </c>
      <c r="G92" s="5">
        <f>8637.61/(15159/60)</f>
        <v>34.188046704927764</v>
      </c>
      <c r="H92" s="5">
        <f>374/126</f>
        <v>2.9682539682539684</v>
      </c>
    </row>
    <row r="93" spans="1:8" x14ac:dyDescent="0.15">
      <c r="A93" s="1">
        <v>45946</v>
      </c>
      <c r="B93" t="s">
        <v>3</v>
      </c>
      <c r="C93" s="5">
        <f>5657/36</f>
        <v>157.13888888888889</v>
      </c>
      <c r="D93" s="4">
        <f t="shared" si="5"/>
        <v>0.10912422839506172</v>
      </c>
      <c r="E93" s="5">
        <f>3972.73/36</f>
        <v>110.35361111111111</v>
      </c>
      <c r="F93" s="5">
        <f>1042.71/36</f>
        <v>28.964166666666667</v>
      </c>
      <c r="G93" s="5">
        <f>3972.73/(5667/60)</f>
        <v>42.061725780836419</v>
      </c>
      <c r="H93" s="5">
        <f>146/36</f>
        <v>4.0555555555555554</v>
      </c>
    </row>
    <row r="94" spans="1:8" x14ac:dyDescent="0.15">
      <c r="A94" s="1">
        <v>45947</v>
      </c>
      <c r="B94" t="s">
        <v>2</v>
      </c>
      <c r="C94" s="5">
        <f>15588/126</f>
        <v>123.71428571428571</v>
      </c>
      <c r="D94" s="4">
        <f t="shared" ref="D94:D99" si="6">C94/(24*60)</f>
        <v>8.5912698412698413E-2</v>
      </c>
      <c r="E94" s="5">
        <f>8361.11/126</f>
        <v>66.358015873015873</v>
      </c>
      <c r="F94" s="5">
        <f>2890.07/126</f>
        <v>22.937063492063494</v>
      </c>
      <c r="G94" s="5">
        <f>8361.11/(15588/60)</f>
        <v>32.182871439568899</v>
      </c>
      <c r="H94" s="5">
        <f>373/126</f>
        <v>2.9603174603174605</v>
      </c>
    </row>
    <row r="95" spans="1:8" x14ac:dyDescent="0.15">
      <c r="A95" s="1">
        <v>45947</v>
      </c>
      <c r="B95" t="s">
        <v>3</v>
      </c>
      <c r="C95" s="5">
        <f>5103/36</f>
        <v>141.75</v>
      </c>
      <c r="D95" s="4">
        <f t="shared" si="6"/>
        <v>9.8437499999999997E-2</v>
      </c>
      <c r="E95" s="5">
        <f>3470.37/36</f>
        <v>96.399166666666659</v>
      </c>
      <c r="F95" s="5">
        <f>974.57/36</f>
        <v>27.07138888888889</v>
      </c>
      <c r="G95" s="5">
        <f>3470.37/(5103/60)</f>
        <v>40.803880070546739</v>
      </c>
      <c r="H95" s="5">
        <f>131/36</f>
        <v>3.6388888888888888</v>
      </c>
    </row>
    <row r="96" spans="1:8" x14ac:dyDescent="0.15">
      <c r="A96" s="1">
        <v>45948</v>
      </c>
      <c r="B96" t="s">
        <v>2</v>
      </c>
      <c r="C96" s="5">
        <f>18320/126</f>
        <v>145.39682539682539</v>
      </c>
      <c r="D96" s="4">
        <f t="shared" si="6"/>
        <v>0.1009700176366843</v>
      </c>
      <c r="E96" s="5">
        <f>10067.02/126</f>
        <v>79.896984126984137</v>
      </c>
      <c r="F96" s="5">
        <f>3486/126</f>
        <v>27.666666666666668</v>
      </c>
      <c r="G96" s="5">
        <f>10067.02/(18320/60)</f>
        <v>32.970589519650659</v>
      </c>
      <c r="H96" s="5">
        <f>434/126</f>
        <v>3.4444444444444446</v>
      </c>
    </row>
    <row r="97" spans="1:8" x14ac:dyDescent="0.15">
      <c r="A97" s="1">
        <v>45948</v>
      </c>
      <c r="B97" t="s">
        <v>3</v>
      </c>
      <c r="C97" s="5">
        <f>5801/36</f>
        <v>161.13888888888889</v>
      </c>
      <c r="D97" s="4">
        <f t="shared" si="6"/>
        <v>0.1119020061728395</v>
      </c>
      <c r="E97" s="5">
        <f>3944.96/36</f>
        <v>109.58222222222223</v>
      </c>
      <c r="F97" s="5">
        <f>989.79/36</f>
        <v>27.494166666666665</v>
      </c>
      <c r="G97" s="5">
        <f>3944.96/(5801/60)</f>
        <v>40.802896052404755</v>
      </c>
      <c r="H97" s="5">
        <f>149/36</f>
        <v>4.1388888888888893</v>
      </c>
    </row>
    <row r="98" spans="1:8" x14ac:dyDescent="0.15">
      <c r="A98" s="1">
        <v>45949</v>
      </c>
      <c r="B98" t="s">
        <v>2</v>
      </c>
      <c r="C98" s="5">
        <f>16400/126</f>
        <v>130.15873015873015</v>
      </c>
      <c r="D98" s="4">
        <f t="shared" si="6"/>
        <v>9.0388007054673716E-2</v>
      </c>
      <c r="E98" s="5">
        <f>8921.04/126</f>
        <v>70.801904761904765</v>
      </c>
      <c r="F98" s="5">
        <f>3008.65/126</f>
        <v>23.878174603174603</v>
      </c>
      <c r="G98" s="5">
        <f>8921.04/(16400/60)</f>
        <v>32.637951219512203</v>
      </c>
      <c r="H98" s="5">
        <f>369/126</f>
        <v>2.9285714285714284</v>
      </c>
    </row>
    <row r="99" spans="1:8" x14ac:dyDescent="0.15">
      <c r="A99" s="1">
        <v>45949</v>
      </c>
      <c r="B99" t="s">
        <v>3</v>
      </c>
      <c r="C99" s="5">
        <f>6291/36</f>
        <v>174.75</v>
      </c>
      <c r="D99" s="4">
        <f t="shared" si="6"/>
        <v>0.12135416666666667</v>
      </c>
      <c r="E99" s="5">
        <f>4269.53/36</f>
        <v>118.59805555555555</v>
      </c>
      <c r="F99" s="5">
        <f>1039.3/36</f>
        <v>28.869444444444444</v>
      </c>
      <c r="G99" s="5">
        <f>4269.53/(6291/60)</f>
        <v>40.720362422508344</v>
      </c>
      <c r="H99" s="5">
        <f>150/36</f>
        <v>4.166666666666667</v>
      </c>
    </row>
    <row r="100" spans="1:8" x14ac:dyDescent="0.15">
      <c r="A100" s="1">
        <v>45950</v>
      </c>
      <c r="B100" t="s">
        <v>2</v>
      </c>
      <c r="C100" s="5">
        <f>19892/126</f>
        <v>157.87301587301587</v>
      </c>
      <c r="D100" s="4">
        <f t="shared" ref="D100:D105" si="7">C100/(24*60)</f>
        <v>0.10963403880070546</v>
      </c>
      <c r="E100" s="5">
        <f>10820.19/126</f>
        <v>85.874523809523808</v>
      </c>
      <c r="F100" s="5">
        <f>3759.82/126</f>
        <v>29.839841269841273</v>
      </c>
      <c r="G100" s="5">
        <f>10820.19/(19892/60)</f>
        <v>32.636808767343652</v>
      </c>
      <c r="H100" s="5">
        <f>427/126</f>
        <v>3.3888888888888888</v>
      </c>
    </row>
    <row r="101" spans="1:8" x14ac:dyDescent="0.15">
      <c r="A101" s="1">
        <v>45950</v>
      </c>
      <c r="B101" t="s">
        <v>3</v>
      </c>
      <c r="C101" s="5">
        <f>6345/36</f>
        <v>176.25</v>
      </c>
      <c r="D101" s="4">
        <f t="shared" si="7"/>
        <v>0.12239583333333333</v>
      </c>
      <c r="E101" s="5">
        <f>4517.3/36</f>
        <v>125.48055555555555</v>
      </c>
      <c r="F101" s="5">
        <f>1280.75/36</f>
        <v>35.576388888888886</v>
      </c>
      <c r="G101" s="5">
        <f>4517.3/(6345/60)</f>
        <v>42.716784869976358</v>
      </c>
      <c r="H101" s="5">
        <f>157/36</f>
        <v>4.3611111111111107</v>
      </c>
    </row>
    <row r="102" spans="1:8" x14ac:dyDescent="0.15">
      <c r="A102" s="1">
        <v>45951</v>
      </c>
      <c r="B102" t="s">
        <v>2</v>
      </c>
      <c r="C102" s="5">
        <f>18469/126</f>
        <v>146.57936507936509</v>
      </c>
      <c r="D102" s="4">
        <f t="shared" si="7"/>
        <v>0.10179122574955909</v>
      </c>
      <c r="E102" s="5">
        <f>9719.94/126</f>
        <v>77.142380952380961</v>
      </c>
      <c r="F102" s="5">
        <f>3449.26/126</f>
        <v>27.375079365079365</v>
      </c>
      <c r="G102" s="5">
        <f>9719.94/(18469/60)</f>
        <v>31.577042611944343</v>
      </c>
      <c r="H102" s="5">
        <f>408/126</f>
        <v>3.2380952380952381</v>
      </c>
    </row>
    <row r="103" spans="1:8" x14ac:dyDescent="0.15">
      <c r="A103" s="1">
        <v>45951</v>
      </c>
      <c r="B103" t="s">
        <v>3</v>
      </c>
      <c r="C103" s="5">
        <f>9025/36</f>
        <v>250.69444444444446</v>
      </c>
      <c r="D103" s="4">
        <f t="shared" si="7"/>
        <v>0.17409336419753088</v>
      </c>
      <c r="E103" s="5">
        <f>5947.02/36</f>
        <v>165.19500000000002</v>
      </c>
      <c r="F103" s="5">
        <f>1572.22/36</f>
        <v>43.672777777777782</v>
      </c>
      <c r="G103" s="5">
        <f>5947.02/(9025/60)</f>
        <v>39.53697506925208</v>
      </c>
      <c r="H103" s="5">
        <f>209/36</f>
        <v>5.8055555555555554</v>
      </c>
    </row>
    <row r="104" spans="1:8" x14ac:dyDescent="0.15">
      <c r="A104" s="1">
        <v>45952</v>
      </c>
      <c r="B104" t="s">
        <v>2</v>
      </c>
      <c r="C104" s="5">
        <f>17491/126</f>
        <v>138.81746031746033</v>
      </c>
      <c r="D104" s="4">
        <f t="shared" si="7"/>
        <v>9.6401014109347455E-2</v>
      </c>
      <c r="E104" s="5">
        <f>8977.26/126</f>
        <v>71.248095238095246</v>
      </c>
      <c r="F104" s="5">
        <f>3108.35/126</f>
        <v>24.669444444444444</v>
      </c>
      <c r="G104" s="5">
        <f>8977.26/(17491/60)</f>
        <v>30.795014578926306</v>
      </c>
      <c r="H104" s="5">
        <f>388/126</f>
        <v>3.0793650793650795</v>
      </c>
    </row>
    <row r="105" spans="1:8" x14ac:dyDescent="0.15">
      <c r="A105" s="1">
        <v>45952</v>
      </c>
      <c r="B105" t="s">
        <v>3</v>
      </c>
      <c r="C105" s="5">
        <f>8139/36</f>
        <v>226.08333333333334</v>
      </c>
      <c r="D105" s="4">
        <f t="shared" si="7"/>
        <v>0.15700231481481483</v>
      </c>
      <c r="E105" s="5">
        <f>5175.03/36</f>
        <v>143.75083333333333</v>
      </c>
      <c r="F105" s="5">
        <f>1404.57/36</f>
        <v>39.015833333333333</v>
      </c>
      <c r="G105" s="5">
        <f>5175.03/(8139/60)</f>
        <v>38.149870991522299</v>
      </c>
      <c r="H105" s="5">
        <f>197/36</f>
        <v>5.4722222222222223</v>
      </c>
    </row>
    <row r="106" spans="1:8" x14ac:dyDescent="0.15">
      <c r="A106" s="1">
        <v>45953</v>
      </c>
      <c r="B106" t="s">
        <v>2</v>
      </c>
      <c r="C106" s="5">
        <f>18485/126</f>
        <v>146.70634920634922</v>
      </c>
      <c r="D106" s="4">
        <f t="shared" ref="D106:D111" si="8">C106/(24*60)</f>
        <v>0.10187940917107584</v>
      </c>
      <c r="E106" s="5">
        <f>10022.34/126</f>
        <v>79.542380952380952</v>
      </c>
      <c r="F106" s="5">
        <f>3555.21/126</f>
        <v>28.21595238095238</v>
      </c>
      <c r="G106" s="5">
        <f>10022.34/(18485/60)</f>
        <v>32.531263186367326</v>
      </c>
      <c r="H106" s="5">
        <f>421/126</f>
        <v>3.3412698412698414</v>
      </c>
    </row>
    <row r="107" spans="1:8" x14ac:dyDescent="0.15">
      <c r="A107" s="1">
        <v>45953</v>
      </c>
      <c r="B107" t="s">
        <v>3</v>
      </c>
      <c r="C107" s="5">
        <f>7056/36</f>
        <v>196</v>
      </c>
      <c r="D107" s="4">
        <f t="shared" si="8"/>
        <v>0.1361111111111111</v>
      </c>
      <c r="E107" s="5">
        <f>5362.37/36</f>
        <v>148.95472222222222</v>
      </c>
      <c r="F107" s="5">
        <f>1389.28/36</f>
        <v>38.591111111111111</v>
      </c>
      <c r="G107" s="5">
        <f>5362.37/(7056/60)</f>
        <v>45.598384353741501</v>
      </c>
      <c r="H107" s="5">
        <f>214/36</f>
        <v>5.9444444444444446</v>
      </c>
    </row>
    <row r="108" spans="1:8" x14ac:dyDescent="0.15">
      <c r="A108" s="1">
        <v>45954</v>
      </c>
      <c r="B108" t="s">
        <v>2</v>
      </c>
      <c r="C108" s="5">
        <f>17690/126</f>
        <v>140.39682539682539</v>
      </c>
      <c r="D108" s="4">
        <f t="shared" si="8"/>
        <v>9.7497795414462074E-2</v>
      </c>
      <c r="E108" s="5">
        <f>9462.42/126</f>
        <v>75.098571428571432</v>
      </c>
      <c r="F108" s="5">
        <f>3311.88/126</f>
        <v>26.284761904761904</v>
      </c>
      <c r="G108" s="5">
        <f>9462.42/(17690/60)</f>
        <v>32.094132278123233</v>
      </c>
      <c r="H108" s="5">
        <f>397/126</f>
        <v>3.1507936507936507</v>
      </c>
    </row>
    <row r="109" spans="1:8" x14ac:dyDescent="0.15">
      <c r="A109" s="1">
        <v>45954</v>
      </c>
      <c r="B109" t="s">
        <v>3</v>
      </c>
      <c r="C109" s="5">
        <f>6975/36</f>
        <v>193.75</v>
      </c>
      <c r="D109" s="4">
        <f t="shared" si="8"/>
        <v>0.1345486111111111</v>
      </c>
      <c r="E109" s="5">
        <f>5405.33/36</f>
        <v>150.14805555555554</v>
      </c>
      <c r="F109" s="5">
        <f>1398.83/36</f>
        <v>38.856388888888887</v>
      </c>
      <c r="G109" s="5">
        <f>5405.33/(6975/60)</f>
        <v>46.497462365591396</v>
      </c>
      <c r="H109" s="5">
        <f>200/36</f>
        <v>5.5555555555555554</v>
      </c>
    </row>
    <row r="110" spans="1:8" x14ac:dyDescent="0.15">
      <c r="A110" s="1">
        <v>45955</v>
      </c>
      <c r="B110" t="s">
        <v>2</v>
      </c>
      <c r="C110" s="5">
        <f>18844/126</f>
        <v>149.55555555555554</v>
      </c>
      <c r="D110" s="4">
        <f t="shared" si="8"/>
        <v>0.10385802469135802</v>
      </c>
      <c r="E110" s="5">
        <f>10409.1/126</f>
        <v>82.611904761904768</v>
      </c>
      <c r="F110" s="5">
        <f>3654.9/126</f>
        <v>29.007142857142856</v>
      </c>
      <c r="G110" s="5">
        <f>10409.4/(18844/60)</f>
        <v>33.1439184886436</v>
      </c>
      <c r="H110" s="5">
        <f>425/126</f>
        <v>3.373015873015873</v>
      </c>
    </row>
    <row r="111" spans="1:8" x14ac:dyDescent="0.15">
      <c r="A111" s="1">
        <v>45955</v>
      </c>
      <c r="B111" t="s">
        <v>3</v>
      </c>
      <c r="C111" s="5">
        <f>6677/36</f>
        <v>185.47222222222223</v>
      </c>
      <c r="D111" s="4">
        <f t="shared" si="8"/>
        <v>0.12880015432098765</v>
      </c>
      <c r="E111" s="5">
        <f>5114.27/36</f>
        <v>142.06305555555556</v>
      </c>
      <c r="F111" s="5">
        <f>1334.4/36</f>
        <v>37.06666666666667</v>
      </c>
      <c r="G111" s="5">
        <f>5114.27/(6677/60)</f>
        <v>45.957196345664222</v>
      </c>
      <c r="H111" s="5">
        <f>163/36</f>
        <v>4.5277777777777777</v>
      </c>
    </row>
    <row r="112" spans="1:8" x14ac:dyDescent="0.15">
      <c r="A112" s="1">
        <v>45956</v>
      </c>
      <c r="B112" t="s">
        <v>2</v>
      </c>
      <c r="C112" s="5">
        <f>18309/126</f>
        <v>145.3095238095238</v>
      </c>
      <c r="D112" s="4">
        <f t="shared" ref="D112:D117" si="9">C112/(24*60)</f>
        <v>0.10090939153439152</v>
      </c>
      <c r="E112" s="5">
        <f>9596.2/126</f>
        <v>76.160317460317472</v>
      </c>
      <c r="F112" s="5">
        <f>3347.98/126</f>
        <v>26.571269841269842</v>
      </c>
      <c r="G112" s="5">
        <f>9695.2/(18309/60)</f>
        <v>31.771915451417339</v>
      </c>
      <c r="H112" s="5">
        <f>409/126</f>
        <v>3.246031746031746</v>
      </c>
    </row>
    <row r="113" spans="1:8" x14ac:dyDescent="0.15">
      <c r="A113" s="1">
        <v>45956</v>
      </c>
      <c r="B113" t="s">
        <v>3</v>
      </c>
      <c r="C113" s="5">
        <f>5857/36</f>
        <v>162.69444444444446</v>
      </c>
      <c r="D113" s="4">
        <f t="shared" si="9"/>
        <v>0.11298225308641976</v>
      </c>
      <c r="E113" s="5">
        <f>4219.62/36</f>
        <v>117.21166666666666</v>
      </c>
      <c r="F113" s="5">
        <f>1092.16/36</f>
        <v>30.337777777777781</v>
      </c>
      <c r="G113" s="5">
        <f>4219.62/(5875/60)</f>
        <v>43.093991489361699</v>
      </c>
      <c r="H113" s="5">
        <f>146/36</f>
        <v>4.0555555555555554</v>
      </c>
    </row>
    <row r="114" spans="1:8" x14ac:dyDescent="0.15">
      <c r="A114" s="1">
        <v>45957</v>
      </c>
      <c r="B114" t="s">
        <v>2</v>
      </c>
      <c r="C114" s="5">
        <f>15790/126</f>
        <v>125.31746031746032</v>
      </c>
      <c r="D114" s="4">
        <f t="shared" si="9"/>
        <v>8.7026014109347447E-2</v>
      </c>
      <c r="E114" s="5">
        <f>8252.82/126</f>
        <v>65.498571428571424</v>
      </c>
      <c r="F114" s="5">
        <f>2845.09/126</f>
        <v>22.580079365079367</v>
      </c>
      <c r="G114" s="5">
        <f>8252.82/(15790/60)</f>
        <v>31.359670677644075</v>
      </c>
      <c r="H114" s="5">
        <f>356/126</f>
        <v>2.8253968253968256</v>
      </c>
    </row>
    <row r="115" spans="1:8" x14ac:dyDescent="0.15">
      <c r="A115" s="1">
        <v>45957</v>
      </c>
      <c r="B115" t="s">
        <v>3</v>
      </c>
      <c r="C115" s="5">
        <f>6690/36</f>
        <v>185.83333333333334</v>
      </c>
      <c r="D115" s="4">
        <f t="shared" si="9"/>
        <v>0.12905092592592593</v>
      </c>
      <c r="E115" s="5">
        <f>4238.8/36</f>
        <v>117.74444444444445</v>
      </c>
      <c r="F115" s="5">
        <f>1121.63/36</f>
        <v>31.156388888888891</v>
      </c>
      <c r="G115" s="5">
        <f>4238.8/(6690/60)</f>
        <v>38.016143497757852</v>
      </c>
      <c r="H115" s="5">
        <f>169/36</f>
        <v>4.6944444444444446</v>
      </c>
    </row>
    <row r="116" spans="1:8" x14ac:dyDescent="0.15">
      <c r="A116" s="1">
        <v>45958</v>
      </c>
      <c r="B116" t="s">
        <v>2</v>
      </c>
      <c r="C116" s="5">
        <f>16362/126</f>
        <v>129.85714285714286</v>
      </c>
      <c r="D116" s="4">
        <f t="shared" si="9"/>
        <v>9.0178571428571427E-2</v>
      </c>
      <c r="E116" s="5">
        <f>8548.61/126</f>
        <v>67.846111111111114</v>
      </c>
      <c r="F116" s="5">
        <f>2855.65/126</f>
        <v>22.663888888888888</v>
      </c>
      <c r="G116" s="5">
        <f>8548.61/(16362/60)</f>
        <v>31.34803813714705</v>
      </c>
      <c r="H116" s="5">
        <f>383/126</f>
        <v>3.0396825396825395</v>
      </c>
    </row>
    <row r="117" spans="1:8" x14ac:dyDescent="0.15">
      <c r="A117" s="1">
        <v>45958</v>
      </c>
      <c r="B117" t="s">
        <v>3</v>
      </c>
      <c r="C117" s="5">
        <f>5662/36</f>
        <v>157.27777777777777</v>
      </c>
      <c r="D117" s="4">
        <f t="shared" si="9"/>
        <v>0.10922067901234568</v>
      </c>
      <c r="E117" s="5">
        <f>4029.96/36</f>
        <v>111.94333333333333</v>
      </c>
      <c r="F117" s="5">
        <f>995.91/36</f>
        <v>27.664166666666667</v>
      </c>
      <c r="G117" s="5">
        <f>4029.96/(5662/60)</f>
        <v>42.705333804309433</v>
      </c>
      <c r="H117" s="5">
        <f>142/36</f>
        <v>3.9444444444444446</v>
      </c>
    </row>
    <row r="118" spans="1:8" x14ac:dyDescent="0.15">
      <c r="A118" s="1">
        <v>45959</v>
      </c>
      <c r="B118" t="s">
        <v>2</v>
      </c>
      <c r="C118" s="5">
        <f>15781/126</f>
        <v>125.24603174603175</v>
      </c>
      <c r="D118" s="4">
        <f t="shared" ref="D118:D123" si="10">C118/(24*60)</f>
        <v>8.6976410934744272E-2</v>
      </c>
      <c r="E118" s="5">
        <f>8701.28/126</f>
        <v>69.057777777777787</v>
      </c>
      <c r="F118" s="5">
        <f>2963.49/126</f>
        <v>23.519761904761904</v>
      </c>
      <c r="G118" s="5">
        <f>8701.28/(15781/60)</f>
        <v>33.08261833850834</v>
      </c>
      <c r="H118" s="5">
        <f>381/126</f>
        <v>3.0238095238095237</v>
      </c>
    </row>
    <row r="119" spans="1:8" x14ac:dyDescent="0.15">
      <c r="A119" s="1">
        <v>45959</v>
      </c>
      <c r="B119" t="s">
        <v>3</v>
      </c>
      <c r="C119" s="5">
        <f>5606/36</f>
        <v>155.72222222222223</v>
      </c>
      <c r="D119" s="4">
        <f t="shared" si="10"/>
        <v>0.10814043209876543</v>
      </c>
      <c r="E119" s="5">
        <f>3363.35/36</f>
        <v>93.42638888888888</v>
      </c>
      <c r="F119" s="5">
        <f>933.96/36</f>
        <v>25.943333333333335</v>
      </c>
      <c r="G119" s="5">
        <f>3363.35/(5606/60)</f>
        <v>35.997324295397789</v>
      </c>
      <c r="H119" s="5">
        <f>134/36</f>
        <v>3.7222222222222223</v>
      </c>
    </row>
    <row r="120" spans="1:8" x14ac:dyDescent="0.15">
      <c r="A120" s="1">
        <v>45960</v>
      </c>
      <c r="B120" t="s">
        <v>2</v>
      </c>
      <c r="C120" s="5">
        <f>15744/126</f>
        <v>124.95238095238095</v>
      </c>
      <c r="D120" s="4">
        <f t="shared" si="10"/>
        <v>8.6772486772486765E-2</v>
      </c>
      <c r="E120" s="5">
        <f>8563.6/126</f>
        <v>67.965079365079362</v>
      </c>
      <c r="F120" s="5">
        <f>2853.81/126</f>
        <v>22.649285714285714</v>
      </c>
      <c r="G120" s="5">
        <f>8563.6/(15744/60)</f>
        <v>32.635670731707322</v>
      </c>
      <c r="H120" s="5">
        <f>274/126</f>
        <v>2.1746031746031744</v>
      </c>
    </row>
    <row r="121" spans="1:8" x14ac:dyDescent="0.15">
      <c r="A121" s="1">
        <v>45960</v>
      </c>
      <c r="B121" t="s">
        <v>3</v>
      </c>
      <c r="C121" s="5">
        <f>5958/36</f>
        <v>165.5</v>
      </c>
      <c r="D121" s="4">
        <f t="shared" si="10"/>
        <v>0.11493055555555555</v>
      </c>
      <c r="E121" s="5">
        <f>4109/36</f>
        <v>114.13888888888889</v>
      </c>
      <c r="F121" s="5">
        <f>1031.23/36</f>
        <v>28.645277777777778</v>
      </c>
      <c r="G121" s="5">
        <f>4109/(5958/60)</f>
        <v>41.379657603222562</v>
      </c>
      <c r="H121" s="5">
        <f>150/36</f>
        <v>4.166666666666667</v>
      </c>
    </row>
    <row r="122" spans="1:8" x14ac:dyDescent="0.15">
      <c r="A122" s="1">
        <v>45961</v>
      </c>
      <c r="B122" t="s">
        <v>2</v>
      </c>
      <c r="C122" s="5">
        <f>17904/126</f>
        <v>142.0952380952381</v>
      </c>
      <c r="D122" s="4">
        <f t="shared" si="10"/>
        <v>9.8677248677248683E-2</v>
      </c>
      <c r="E122" s="5">
        <f>9541.25/126</f>
        <v>75.724206349206355</v>
      </c>
      <c r="F122" s="5">
        <f>3130.66/126</f>
        <v>24.846507936507937</v>
      </c>
      <c r="G122" s="5">
        <f>9541.25/(17904/60)</f>
        <v>31.974698391420915</v>
      </c>
      <c r="H122" s="5">
        <f>405/126</f>
        <v>3.2142857142857144</v>
      </c>
    </row>
    <row r="123" spans="1:8" x14ac:dyDescent="0.15">
      <c r="A123" s="1">
        <v>45961</v>
      </c>
      <c r="B123" t="s">
        <v>3</v>
      </c>
      <c r="C123" s="5">
        <f>6997/36</f>
        <v>194.36111111111111</v>
      </c>
      <c r="D123" s="4">
        <f t="shared" si="10"/>
        <v>0.13497299382716049</v>
      </c>
      <c r="E123" s="5">
        <f>5003.73/36</f>
        <v>138.99249999999998</v>
      </c>
      <c r="F123" s="5">
        <f>1323.97/36</f>
        <v>36.776944444444446</v>
      </c>
      <c r="G123" s="5">
        <f>5003.73/(6997/60)</f>
        <v>42.907503215663851</v>
      </c>
      <c r="H123" s="5">
        <f>177/36</f>
        <v>4.916666666666667</v>
      </c>
    </row>
    <row r="124" spans="1:8" x14ac:dyDescent="0.15">
      <c r="A124" s="1">
        <v>45962</v>
      </c>
      <c r="B124" t="s">
        <v>2</v>
      </c>
      <c r="C124" s="5">
        <f>15626/126</f>
        <v>124.01587301587301</v>
      </c>
      <c r="D124" s="4">
        <f t="shared" ref="D124:D129" si="11">C124/(24*60)</f>
        <v>8.6122134038800702E-2</v>
      </c>
      <c r="E124" s="5">
        <f>8560.8/126</f>
        <v>67.942857142857136</v>
      </c>
      <c r="F124" s="5">
        <f>2843.51/126</f>
        <v>22.567539682539685</v>
      </c>
      <c r="G124" s="5">
        <f>8560.8/(15626/60)</f>
        <v>32.87136823243312</v>
      </c>
      <c r="H124" s="5">
        <f>382/126</f>
        <v>3.0317460317460316</v>
      </c>
    </row>
    <row r="125" spans="1:8" x14ac:dyDescent="0.15">
      <c r="A125" s="1">
        <v>45962</v>
      </c>
      <c r="B125" t="s">
        <v>3</v>
      </c>
      <c r="C125" s="5">
        <f>5006/36</f>
        <v>139.05555555555554</v>
      </c>
      <c r="D125" s="4">
        <f t="shared" si="11"/>
        <v>9.6566358024691351E-2</v>
      </c>
      <c r="E125" s="5">
        <f>3801.21/36</f>
        <v>105.58916666666667</v>
      </c>
      <c r="F125" s="5">
        <f>934.44/36</f>
        <v>25.956666666666667</v>
      </c>
      <c r="G125" s="5">
        <f>3801.21/(5006/60)</f>
        <v>45.559848182181383</v>
      </c>
      <c r="H125" s="5">
        <f>158/36</f>
        <v>4.3888888888888893</v>
      </c>
    </row>
    <row r="126" spans="1:8" x14ac:dyDescent="0.15">
      <c r="A126" s="1">
        <v>45963</v>
      </c>
      <c r="B126" t="s">
        <v>2</v>
      </c>
      <c r="C126" s="5">
        <f>16211/126</f>
        <v>128.65873015873015</v>
      </c>
      <c r="D126" s="4">
        <f t="shared" si="11"/>
        <v>8.9346340388007053E-2</v>
      </c>
      <c r="E126" s="5">
        <f>8785.66/126</f>
        <v>69.727460317460313</v>
      </c>
      <c r="F126" s="5">
        <f>2861.71/126</f>
        <v>22.711984126984127</v>
      </c>
      <c r="G126" s="5">
        <f>8785.66/(16211/126)</f>
        <v>68.286543704891741</v>
      </c>
      <c r="H126" s="5">
        <f>368/126</f>
        <v>2.9206349206349205</v>
      </c>
    </row>
    <row r="127" spans="1:8" x14ac:dyDescent="0.15">
      <c r="A127" s="1">
        <v>45963</v>
      </c>
      <c r="B127" t="s">
        <v>3</v>
      </c>
      <c r="C127" s="5">
        <f>6514/36</f>
        <v>180.94444444444446</v>
      </c>
      <c r="D127" s="4">
        <f t="shared" si="11"/>
        <v>0.12565586419753089</v>
      </c>
      <c r="E127" s="5">
        <f>4392.14/36</f>
        <v>122.00388888888889</v>
      </c>
      <c r="F127" s="5">
        <f>1125.26/36</f>
        <v>31.257222222222222</v>
      </c>
      <c r="G127" s="5">
        <f>4392.14/(6514/60)</f>
        <v>40.455695425237955</v>
      </c>
      <c r="H127" s="5">
        <f>160/36</f>
        <v>4.4444444444444446</v>
      </c>
    </row>
    <row r="128" spans="1:8" x14ac:dyDescent="0.15">
      <c r="A128" s="1">
        <v>45964</v>
      </c>
      <c r="B128" t="s">
        <v>2</v>
      </c>
      <c r="C128" s="5">
        <f>17725/126</f>
        <v>140.67460317460316</v>
      </c>
      <c r="D128" s="4">
        <f t="shared" si="11"/>
        <v>9.7690696649029976E-2</v>
      </c>
      <c r="E128" s="5">
        <f>9515.19/126</f>
        <v>75.517380952380961</v>
      </c>
      <c r="F128" s="5">
        <f>3163.72/126</f>
        <v>25.108888888888888</v>
      </c>
      <c r="G128" s="5">
        <f>9515.19/(17725/60)</f>
        <v>32.209387870239773</v>
      </c>
      <c r="H128" s="5">
        <f>403/126</f>
        <v>3.1984126984126986</v>
      </c>
    </row>
    <row r="129" spans="1:8" x14ac:dyDescent="0.15">
      <c r="A129" s="1">
        <v>45964</v>
      </c>
      <c r="B129" t="s">
        <v>3</v>
      </c>
      <c r="C129" s="5">
        <f>5741/36</f>
        <v>159.47222222222223</v>
      </c>
      <c r="D129" s="4">
        <f t="shared" si="11"/>
        <v>0.11074459876543211</v>
      </c>
      <c r="E129" s="5">
        <f>3710.22/36</f>
        <v>103.06166666666667</v>
      </c>
      <c r="F129" s="5">
        <f>1016.93/36</f>
        <v>28.248055555555553</v>
      </c>
      <c r="G129" s="5">
        <f>3710.22/(5741/60)</f>
        <v>38.776032050165476</v>
      </c>
      <c r="H129" s="5">
        <f>137/36</f>
        <v>3.8055555555555554</v>
      </c>
    </row>
    <row r="130" spans="1:8" x14ac:dyDescent="0.15">
      <c r="A130" s="1">
        <v>45965</v>
      </c>
      <c r="B130" t="s">
        <v>2</v>
      </c>
      <c r="C130" s="5">
        <f>17277/126</f>
        <v>137.11904761904762</v>
      </c>
      <c r="D130" s="4">
        <f t="shared" ref="D130:D135" si="12">C130/(24*60)</f>
        <v>9.5221560846560846E-2</v>
      </c>
      <c r="E130" s="5">
        <f>9285.74/126</f>
        <v>73.696349206349211</v>
      </c>
      <c r="F130" s="5">
        <f>3136.57/126</f>
        <v>24.8934126984127</v>
      </c>
      <c r="G130" s="5">
        <f>9285.74/(17277/60)</f>
        <v>32.247751345719742</v>
      </c>
      <c r="H130" s="5">
        <f>393/126</f>
        <v>3.1190476190476191</v>
      </c>
    </row>
    <row r="131" spans="1:8" x14ac:dyDescent="0.15">
      <c r="A131" s="1">
        <v>45965</v>
      </c>
      <c r="B131" t="s">
        <v>3</v>
      </c>
      <c r="C131" s="5">
        <f>5973/36</f>
        <v>165.91666666666666</v>
      </c>
      <c r="D131" s="4">
        <f t="shared" si="12"/>
        <v>0.1152199074074074</v>
      </c>
      <c r="E131" s="5">
        <f>3837.03/36</f>
        <v>106.58416666666668</v>
      </c>
      <c r="F131" s="5">
        <f>1047.09/36</f>
        <v>29.08583333333333</v>
      </c>
      <c r="G131" s="5">
        <f>3837.03/(5973/60)</f>
        <v>38.543746860873938</v>
      </c>
      <c r="H131" s="5">
        <f>152/36</f>
        <v>4.2222222222222223</v>
      </c>
    </row>
    <row r="132" spans="1:8" x14ac:dyDescent="0.15">
      <c r="A132" s="1">
        <v>45966</v>
      </c>
      <c r="B132" t="s">
        <v>2</v>
      </c>
      <c r="C132" s="5">
        <f>15346/126</f>
        <v>121.7936507936508</v>
      </c>
      <c r="D132" s="4">
        <f t="shared" si="12"/>
        <v>8.4578924162257499E-2</v>
      </c>
      <c r="E132" s="5">
        <f>7953.77/126</f>
        <v>63.125158730158731</v>
      </c>
      <c r="F132" s="5">
        <f>2678.68/126</f>
        <v>21.259365079365079</v>
      </c>
      <c r="G132" s="5">
        <f>7953.77/(15346/60)</f>
        <v>31.097758373517529</v>
      </c>
      <c r="H132" s="5">
        <f>360/126</f>
        <v>2.8571428571428572</v>
      </c>
    </row>
    <row r="133" spans="1:8" x14ac:dyDescent="0.15">
      <c r="A133" s="1">
        <v>45966</v>
      </c>
      <c r="B133" t="s">
        <v>3</v>
      </c>
      <c r="C133" s="5">
        <f>7472/36</f>
        <v>207.55555555555554</v>
      </c>
      <c r="D133" s="4">
        <f t="shared" si="12"/>
        <v>0.14413580246913579</v>
      </c>
      <c r="E133" s="5">
        <f>5558.54/36</f>
        <v>154.4038888888889</v>
      </c>
      <c r="F133" s="5">
        <f>1415.89/36</f>
        <v>39.330277777777781</v>
      </c>
      <c r="G133" s="5">
        <f>5558.54/(7472/60)</f>
        <v>44.634957173447539</v>
      </c>
      <c r="H133" s="5">
        <f>228/36</f>
        <v>6.333333333333333</v>
      </c>
    </row>
    <row r="134" spans="1:8" x14ac:dyDescent="0.15">
      <c r="A134" s="1">
        <v>45967</v>
      </c>
      <c r="B134" t="s">
        <v>2</v>
      </c>
      <c r="C134" s="5">
        <f>15495/126</f>
        <v>122.97619047619048</v>
      </c>
      <c r="D134" s="4">
        <f t="shared" si="12"/>
        <v>8.5400132275132282E-2</v>
      </c>
      <c r="E134" s="5">
        <f>8103.55/126</f>
        <v>64.313888888888897</v>
      </c>
      <c r="F134" s="5">
        <f>2735.31/126</f>
        <v>21.708809523809524</v>
      </c>
      <c r="G134" s="5">
        <f>8103.55/(15495/60)</f>
        <v>31.378702807357211</v>
      </c>
      <c r="H134" s="5">
        <f>374/126</f>
        <v>2.9682539682539684</v>
      </c>
    </row>
    <row r="135" spans="1:8" x14ac:dyDescent="0.15">
      <c r="A135" s="1">
        <v>45967</v>
      </c>
      <c r="B135" t="s">
        <v>3</v>
      </c>
      <c r="C135" s="5">
        <f>5556/36</f>
        <v>154.33333333333334</v>
      </c>
      <c r="D135" s="4">
        <f t="shared" si="12"/>
        <v>0.10717592592592594</v>
      </c>
      <c r="E135" s="5">
        <f>3940.82/36</f>
        <v>109.46722222222223</v>
      </c>
      <c r="F135" s="5">
        <f>1050.59/36</f>
        <v>29.183055555555555</v>
      </c>
      <c r="G135" s="5">
        <f>3940.82/(5556/60)</f>
        <v>42.55745140388769</v>
      </c>
      <c r="H135" s="5">
        <f>145/36</f>
        <v>4.0277777777777777</v>
      </c>
    </row>
    <row r="136" spans="1:8" x14ac:dyDescent="0.15">
      <c r="A136" s="1">
        <v>45968</v>
      </c>
      <c r="B136" t="s">
        <v>2</v>
      </c>
      <c r="C136" s="5">
        <f>15477/126</f>
        <v>122.83333333333333</v>
      </c>
      <c r="D136" s="4">
        <f t="shared" ref="D136:D141" si="13">C136/(24*60)</f>
        <v>8.5300925925925919E-2</v>
      </c>
      <c r="E136" s="5">
        <f>8017.18/126</f>
        <v>63.628412698412703</v>
      </c>
      <c r="F136" s="5">
        <f>2656.04/126</f>
        <v>21.07968253968254</v>
      </c>
      <c r="G136" s="5">
        <f>8017.18/(15477/60)</f>
        <v>31.080364411707698</v>
      </c>
      <c r="H136" s="5">
        <f>383/126</f>
        <v>3.0396825396825395</v>
      </c>
    </row>
    <row r="137" spans="1:8" x14ac:dyDescent="0.15">
      <c r="A137" s="1">
        <v>45968</v>
      </c>
      <c r="B137" t="s">
        <v>3</v>
      </c>
      <c r="C137" s="5">
        <f>5909/36</f>
        <v>164.13888888888889</v>
      </c>
      <c r="D137" s="4">
        <f t="shared" si="13"/>
        <v>0.11398533950617283</v>
      </c>
      <c r="E137" s="5">
        <f>4299.03/36</f>
        <v>119.41749999999999</v>
      </c>
      <c r="F137" s="5">
        <f>1119.68/36</f>
        <v>31.102222222222224</v>
      </c>
      <c r="G137" s="5">
        <f>4299.03/(5909/60)</f>
        <v>43.652360805550849</v>
      </c>
      <c r="H137" s="5">
        <f>157/36</f>
        <v>4.3611111111111107</v>
      </c>
    </row>
    <row r="138" spans="1:8" x14ac:dyDescent="0.15">
      <c r="A138" s="1">
        <v>45969</v>
      </c>
      <c r="B138" t="s">
        <v>2</v>
      </c>
      <c r="C138" s="5">
        <f>20209/126</f>
        <v>160.38888888888889</v>
      </c>
      <c r="D138" s="4">
        <f t="shared" si="13"/>
        <v>0.11138117283950617</v>
      </c>
      <c r="E138" s="5">
        <f>10999.84/126</f>
        <v>87.300317460317459</v>
      </c>
      <c r="F138" s="5">
        <f>3708.77/126</f>
        <v>29.434682539682541</v>
      </c>
      <c r="G138" s="5">
        <f>10999.84/(20209/60)</f>
        <v>32.658241377604035</v>
      </c>
      <c r="H138" s="5">
        <f>462/126</f>
        <v>3.6666666666666665</v>
      </c>
    </row>
    <row r="139" spans="1:8" x14ac:dyDescent="0.15">
      <c r="A139" s="1">
        <v>45969</v>
      </c>
      <c r="B139" t="s">
        <v>3</v>
      </c>
      <c r="C139" s="5">
        <f>6504/36</f>
        <v>180.66666666666666</v>
      </c>
      <c r="D139" s="4">
        <f t="shared" si="13"/>
        <v>0.12546296296296294</v>
      </c>
      <c r="E139" s="5">
        <f>4218.97/36</f>
        <v>117.19361111111112</v>
      </c>
      <c r="F139" s="5">
        <f>1169.28/36</f>
        <v>32.479999999999997</v>
      </c>
      <c r="G139" s="5">
        <f>4218.97/(6504/60)</f>
        <v>38.92038745387454</v>
      </c>
      <c r="H139" s="5">
        <f>151/36</f>
        <v>4.1944444444444446</v>
      </c>
    </row>
    <row r="140" spans="1:8" x14ac:dyDescent="0.15">
      <c r="A140" s="1">
        <v>45970</v>
      </c>
      <c r="B140" t="s">
        <v>2</v>
      </c>
      <c r="C140" s="5">
        <f>18286/126</f>
        <v>145.12698412698413</v>
      </c>
      <c r="D140" s="4">
        <f t="shared" si="13"/>
        <v>0.10078262786596121</v>
      </c>
      <c r="E140" s="5">
        <f>10063.49/126</f>
        <v>79.868968253968248</v>
      </c>
      <c r="F140" s="5">
        <f>3279.8/126</f>
        <v>26.030158730158732</v>
      </c>
      <c r="G140" s="5">
        <f>10063.49/(18286/60)</f>
        <v>33.02031062014656</v>
      </c>
      <c r="H140" s="5">
        <f>415/126</f>
        <v>3.2936507936507935</v>
      </c>
    </row>
    <row r="141" spans="1:8" x14ac:dyDescent="0.15">
      <c r="A141" s="1">
        <v>45970</v>
      </c>
      <c r="B141" t="s">
        <v>3</v>
      </c>
      <c r="C141" s="5">
        <f>6150/36</f>
        <v>170.83333333333334</v>
      </c>
      <c r="D141" s="4">
        <f t="shared" si="13"/>
        <v>0.11863425925925927</v>
      </c>
      <c r="E141" s="5">
        <f>4260.7/36</f>
        <v>118.35277777777777</v>
      </c>
      <c r="F141" s="5">
        <f>1136.31/36</f>
        <v>31.564166666666665</v>
      </c>
      <c r="G141" s="5">
        <f>4260.7/(6150/60)</f>
        <v>41.567804878048776</v>
      </c>
      <c r="H141" s="5">
        <f>140/36</f>
        <v>3.8888888888888888</v>
      </c>
    </row>
    <row r="142" spans="1:8" x14ac:dyDescent="0.15">
      <c r="A142" s="1">
        <v>45971</v>
      </c>
      <c r="B142" t="s">
        <v>2</v>
      </c>
      <c r="C142" s="5">
        <f>20127/126</f>
        <v>159.73809523809524</v>
      </c>
      <c r="D142" s="4">
        <f t="shared" ref="D142:D147" si="14">C142/(24*60)</f>
        <v>0.11092923280423281</v>
      </c>
      <c r="E142" s="5">
        <f>10798.15/126</f>
        <v>85.699603174603169</v>
      </c>
      <c r="F142" s="5">
        <f>3568.03/126</f>
        <v>28.317698412698416</v>
      </c>
      <c r="G142" s="5">
        <f>10798.15/(20127/60)</f>
        <v>32.190043225517961</v>
      </c>
      <c r="H142" s="5">
        <f>441/126</f>
        <v>3.5</v>
      </c>
    </row>
    <row r="143" spans="1:8" x14ac:dyDescent="0.15">
      <c r="A143" s="1">
        <v>45971</v>
      </c>
      <c r="B143" t="s">
        <v>3</v>
      </c>
      <c r="C143" s="5">
        <f>6879/36</f>
        <v>191.08333333333334</v>
      </c>
      <c r="D143" s="4">
        <f t="shared" si="14"/>
        <v>0.13269675925925928</v>
      </c>
      <c r="E143" s="5">
        <f>4554.88/36</f>
        <v>126.52444444444444</v>
      </c>
      <c r="F143" s="5">
        <f>1219.25/36</f>
        <v>33.868055555555557</v>
      </c>
      <c r="G143" s="5">
        <f>4554.88/(6879/60)</f>
        <v>39.728565198430005</v>
      </c>
      <c r="H143" s="5">
        <f>167/36</f>
        <v>4.6388888888888893</v>
      </c>
    </row>
    <row r="144" spans="1:8" x14ac:dyDescent="0.15">
      <c r="A144" s="1">
        <v>45972</v>
      </c>
      <c r="B144" t="s">
        <v>2</v>
      </c>
      <c r="C144" s="5">
        <f>17013/126</f>
        <v>135.02380952380952</v>
      </c>
      <c r="D144" s="4">
        <f t="shared" si="14"/>
        <v>9.3766534391534387E-2</v>
      </c>
      <c r="E144" s="5">
        <f>8716.41/126</f>
        <v>69.177857142857135</v>
      </c>
      <c r="F144" s="5">
        <f>2990.34/126</f>
        <v>23.732857142857146</v>
      </c>
      <c r="G144" s="5">
        <f>8716.41/(17013/60)</f>
        <v>30.740292717333801</v>
      </c>
      <c r="H144" s="5">
        <f>378/126</f>
        <v>3</v>
      </c>
    </row>
    <row r="145" spans="1:8" x14ac:dyDescent="0.15">
      <c r="A145" s="1">
        <v>45972</v>
      </c>
      <c r="B145" t="s">
        <v>3</v>
      </c>
      <c r="C145" s="5">
        <f>5873/36</f>
        <v>163.13888888888889</v>
      </c>
      <c r="D145" s="4">
        <f t="shared" si="14"/>
        <v>0.11329089506172839</v>
      </c>
      <c r="E145" s="5">
        <f>4125.06/36</f>
        <v>114.58500000000001</v>
      </c>
      <c r="F145" s="5">
        <f>1140.66/36</f>
        <v>31.685000000000002</v>
      </c>
      <c r="G145" s="5">
        <f>4125.06/(5873/60)</f>
        <v>42.142618763834498</v>
      </c>
      <c r="H145" s="5">
        <f>166/36</f>
        <v>4.6111111111111107</v>
      </c>
    </row>
    <row r="146" spans="1:8" x14ac:dyDescent="0.15">
      <c r="A146" s="1">
        <v>45973</v>
      </c>
      <c r="B146" t="s">
        <v>2</v>
      </c>
      <c r="C146" s="5">
        <f>16053/126</f>
        <v>127.4047619047619</v>
      </c>
      <c r="D146" s="4">
        <f t="shared" si="14"/>
        <v>8.8475529100529096E-2</v>
      </c>
      <c r="E146" s="5">
        <f>8365.93/126</f>
        <v>66.396269841269842</v>
      </c>
      <c r="F146" s="5">
        <f>2768.53/126</f>
        <v>21.972460317460317</v>
      </c>
      <c r="G146" s="5">
        <f>8365.93/(16053/60)</f>
        <v>31.268660063539524</v>
      </c>
      <c r="H146" s="5">
        <f>353/126</f>
        <v>2.8015873015873014</v>
      </c>
    </row>
    <row r="147" spans="1:8" x14ac:dyDescent="0.15">
      <c r="A147" s="1">
        <v>45973</v>
      </c>
      <c r="B147" t="s">
        <v>3</v>
      </c>
      <c r="C147" s="5">
        <f>6740/36</f>
        <v>187.22222222222223</v>
      </c>
      <c r="D147" s="4">
        <f t="shared" si="14"/>
        <v>0.13001543209876543</v>
      </c>
      <c r="E147" s="5">
        <f>4569.6/36</f>
        <v>126.93333333333334</v>
      </c>
      <c r="F147" s="5">
        <f>1142.5/36</f>
        <v>31.736111111111111</v>
      </c>
      <c r="G147" s="5">
        <f>4569.3/(6740/60)</f>
        <v>40.67626112759644</v>
      </c>
      <c r="H147" s="5">
        <f>162/36</f>
        <v>4.5</v>
      </c>
    </row>
    <row r="148" spans="1:8" x14ac:dyDescent="0.15">
      <c r="A148" s="1">
        <v>45974</v>
      </c>
      <c r="B148" t="s">
        <v>2</v>
      </c>
      <c r="C148" s="5">
        <f>16074/126</f>
        <v>127.57142857142857</v>
      </c>
      <c r="D148" s="4">
        <f t="shared" ref="D148:D153" si="15">C148/(24*60)</f>
        <v>8.8591269841269846E-2</v>
      </c>
      <c r="E148" s="5">
        <f>8540.36/126</f>
        <v>67.780634920634924</v>
      </c>
      <c r="F148" s="5">
        <f>2855.21/126</f>
        <v>22.660396825396827</v>
      </c>
      <c r="G148" s="5">
        <f>8540.36/(16074/60)</f>
        <v>31.878910041060102</v>
      </c>
      <c r="H148" s="5">
        <f>369/126</f>
        <v>2.9285714285714284</v>
      </c>
    </row>
    <row r="149" spans="1:8" x14ac:dyDescent="0.15">
      <c r="A149" s="1">
        <v>45974</v>
      </c>
      <c r="B149" t="s">
        <v>3</v>
      </c>
      <c r="C149" s="5">
        <f>5877/36</f>
        <v>163.25</v>
      </c>
      <c r="D149" s="4">
        <f t="shared" si="15"/>
        <v>0.11336805555555556</v>
      </c>
      <c r="E149" s="5">
        <f>4197.05/36</f>
        <v>116.58472222222223</v>
      </c>
      <c r="F149" s="5">
        <f>1070.23/36</f>
        <v>29.72861111111111</v>
      </c>
      <c r="G149" s="5">
        <f>4197.05/(5877/60)</f>
        <v>42.848902501276164</v>
      </c>
      <c r="H149" s="5">
        <f>154/36</f>
        <v>4.2777777777777777</v>
      </c>
    </row>
    <row r="150" spans="1:8" x14ac:dyDescent="0.15">
      <c r="A150" s="1">
        <v>45975</v>
      </c>
      <c r="B150" t="s">
        <v>2</v>
      </c>
      <c r="C150" s="5">
        <f>16816/126</f>
        <v>133.46031746031747</v>
      </c>
      <c r="D150" s="4">
        <f t="shared" si="15"/>
        <v>9.2680776014109359E-2</v>
      </c>
      <c r="E150" s="5">
        <f>9179.99/126</f>
        <v>72.857063492063489</v>
      </c>
      <c r="F150" s="5">
        <f>3068.72/126</f>
        <v>24.354920634920635</v>
      </c>
      <c r="G150" s="5">
        <f>9179.99/(16816/60)</f>
        <v>32.754483824928641</v>
      </c>
      <c r="H150" s="5">
        <f>380/126</f>
        <v>3.0158730158730158</v>
      </c>
    </row>
    <row r="151" spans="1:8" x14ac:dyDescent="0.15">
      <c r="A151" s="1">
        <v>45975</v>
      </c>
      <c r="B151" t="s">
        <v>3</v>
      </c>
      <c r="C151" s="5">
        <f>6253/36</f>
        <v>173.69444444444446</v>
      </c>
      <c r="D151" s="4">
        <f t="shared" si="15"/>
        <v>0.12062114197530865</v>
      </c>
      <c r="E151" s="5">
        <f>4566.62/36</f>
        <v>126.85055555555556</v>
      </c>
      <c r="F151" s="5">
        <f>1188.81/36</f>
        <v>33.022500000000001</v>
      </c>
      <c r="G151" s="5">
        <f>4566.62/(6253/60)</f>
        <v>43.818519110826799</v>
      </c>
      <c r="H151" s="5">
        <f>159/36</f>
        <v>4.416666666666667</v>
      </c>
    </row>
    <row r="152" spans="1:8" x14ac:dyDescent="0.15">
      <c r="A152" s="1">
        <v>45976</v>
      </c>
      <c r="B152" t="s">
        <v>2</v>
      </c>
      <c r="C152" s="5">
        <f>16483/126</f>
        <v>130.81746031746033</v>
      </c>
      <c r="D152" s="4">
        <f t="shared" si="15"/>
        <v>9.0845458553791891E-2</v>
      </c>
      <c r="E152" s="5">
        <f>9342.76/126</f>
        <v>74.148888888888891</v>
      </c>
      <c r="F152" s="5">
        <f>3054.69/126</f>
        <v>24.243571428571428</v>
      </c>
      <c r="G152" s="5">
        <f>9342.76/(16483/60)</f>
        <v>34.008712006309537</v>
      </c>
      <c r="H152" s="5">
        <f>384/126</f>
        <v>3.0476190476190474</v>
      </c>
    </row>
    <row r="153" spans="1:8" x14ac:dyDescent="0.15">
      <c r="A153" s="1">
        <v>45976</v>
      </c>
      <c r="B153" t="s">
        <v>3</v>
      </c>
      <c r="C153" s="5">
        <f>5773/36</f>
        <v>160.36111111111111</v>
      </c>
      <c r="D153" s="4">
        <f t="shared" si="15"/>
        <v>0.11136188271604938</v>
      </c>
      <c r="E153" s="5">
        <f>4114.2/36</f>
        <v>114.28333333333333</v>
      </c>
      <c r="F153" s="5">
        <f>1041.86/36</f>
        <v>28.940555555555552</v>
      </c>
      <c r="G153" s="5">
        <f>4114.2/(5773/60)</f>
        <v>42.759743634159015</v>
      </c>
      <c r="H153" s="5">
        <f>147/36</f>
        <v>4.083333333333333</v>
      </c>
    </row>
    <row r="154" spans="1:8" x14ac:dyDescent="0.15">
      <c r="A154" s="1">
        <v>45977</v>
      </c>
      <c r="B154" t="s">
        <v>2</v>
      </c>
      <c r="C154" s="5">
        <f>15605/126</f>
        <v>123.84920634920636</v>
      </c>
      <c r="D154" s="4">
        <f t="shared" ref="D154:D159" si="16">C154/(24*60)</f>
        <v>8.6006393298059966E-2</v>
      </c>
      <c r="E154" s="5">
        <f>8750.49/126</f>
        <v>69.448333333333338</v>
      </c>
      <c r="F154" s="5">
        <f>2845.94/126</f>
        <v>22.586825396825397</v>
      </c>
      <c r="G154" s="5">
        <f>8750.49/(15605/60)</f>
        <v>33.644947132329385</v>
      </c>
      <c r="H154" s="5">
        <f>360/126</f>
        <v>2.8571428571428572</v>
      </c>
    </row>
    <row r="155" spans="1:8" x14ac:dyDescent="0.15">
      <c r="A155" s="1">
        <v>45977</v>
      </c>
      <c r="B155" t="s">
        <v>3</v>
      </c>
      <c r="C155" s="5">
        <f>6392/36</f>
        <v>177.55555555555554</v>
      </c>
      <c r="D155" s="4">
        <f t="shared" si="16"/>
        <v>0.12330246913580246</v>
      </c>
      <c r="E155" s="5">
        <f>4541.23/36</f>
        <v>126.14527777777776</v>
      </c>
      <c r="F155" s="5">
        <f>1110/36</f>
        <v>30.833333333333332</v>
      </c>
      <c r="G155" s="5">
        <f>4541.23/(6392/60)</f>
        <v>42.6273153942428</v>
      </c>
      <c r="H155" s="5">
        <f>155/36</f>
        <v>4.3055555555555554</v>
      </c>
    </row>
    <row r="156" spans="1:8" x14ac:dyDescent="0.15">
      <c r="A156" s="1">
        <v>45978</v>
      </c>
      <c r="B156" t="s">
        <v>2</v>
      </c>
      <c r="C156" s="5">
        <f>17440/126</f>
        <v>138.4126984126984</v>
      </c>
      <c r="D156" s="4">
        <f t="shared" si="16"/>
        <v>9.6119929453262781E-2</v>
      </c>
      <c r="E156" s="5">
        <f>9597.15/126</f>
        <v>76.167857142857144</v>
      </c>
      <c r="F156" s="5">
        <f>3109.43/126</f>
        <v>24.678015873015873</v>
      </c>
      <c r="G156" s="5">
        <f>9597.15/(17440/60)</f>
        <v>33.017717889908255</v>
      </c>
      <c r="H156" s="5">
        <f>397/126</f>
        <v>3.1507936507936507</v>
      </c>
    </row>
    <row r="157" spans="1:8" x14ac:dyDescent="0.15">
      <c r="A157" s="1">
        <v>45978</v>
      </c>
      <c r="B157" t="s">
        <v>3</v>
      </c>
      <c r="C157" s="5">
        <f>7072/36</f>
        <v>196.44444444444446</v>
      </c>
      <c r="D157" s="4">
        <f t="shared" si="16"/>
        <v>0.13641975308641976</v>
      </c>
      <c r="E157" s="5">
        <f>4848.63/36</f>
        <v>134.68416666666667</v>
      </c>
      <c r="F157" s="5">
        <f>1240.82/36</f>
        <v>34.467222222222219</v>
      </c>
      <c r="G157" s="5">
        <f>4848.63/(7072/60)</f>
        <v>41.136566742081449</v>
      </c>
      <c r="H157" s="5">
        <f>175/36</f>
        <v>4.8611111111111107</v>
      </c>
    </row>
    <row r="158" spans="1:8" x14ac:dyDescent="0.15">
      <c r="A158" s="1">
        <v>45979</v>
      </c>
      <c r="B158" t="s">
        <v>2</v>
      </c>
      <c r="C158" s="5">
        <f>20257/126</f>
        <v>160.76984126984127</v>
      </c>
      <c r="D158" s="4">
        <f t="shared" si="16"/>
        <v>0.11164572310405643</v>
      </c>
      <c r="E158" s="5">
        <f>9993.93/126</f>
        <v>79.316904761904766</v>
      </c>
      <c r="F158" s="5">
        <f>3294.21/126</f>
        <v>26.144523809523811</v>
      </c>
      <c r="G158" s="5">
        <f>9993.93/(20257/60)</f>
        <v>29.601411857629461</v>
      </c>
      <c r="H158" s="5">
        <f>410/126</f>
        <v>3.253968253968254</v>
      </c>
    </row>
    <row r="159" spans="1:8" x14ac:dyDescent="0.15">
      <c r="A159" s="1">
        <v>45979</v>
      </c>
      <c r="B159" t="s">
        <v>3</v>
      </c>
      <c r="C159" s="5">
        <f>8892/36</f>
        <v>247</v>
      </c>
      <c r="D159" s="4">
        <f t="shared" si="16"/>
        <v>0.17152777777777778</v>
      </c>
      <c r="E159" s="5">
        <f>5793.18/36</f>
        <v>160.92166666666668</v>
      </c>
      <c r="F159" s="5">
        <f>1547.65/36</f>
        <v>42.990277777777777</v>
      </c>
      <c r="G159" s="5">
        <f>5793.18/(8892/60)</f>
        <v>39.090283400809724</v>
      </c>
      <c r="H159" s="5">
        <f>212/36</f>
        <v>5.8888888888888893</v>
      </c>
    </row>
    <row r="160" spans="1:8" x14ac:dyDescent="0.15">
      <c r="A160" s="1">
        <v>45980</v>
      </c>
      <c r="B160" t="s">
        <v>2</v>
      </c>
      <c r="C160" s="5">
        <f>17192/126</f>
        <v>136.44444444444446</v>
      </c>
      <c r="D160" s="4">
        <f t="shared" ref="D160:D165" si="17">C160/(24*60)</f>
        <v>9.4753086419753094E-2</v>
      </c>
      <c r="E160" s="5">
        <f>9131.59/126</f>
        <v>72.47293650793651</v>
      </c>
      <c r="F160" s="5">
        <f>3039.16/126</f>
        <v>24.120317460317459</v>
      </c>
      <c r="G160" s="5">
        <f>9131.59/(17192/60)</f>
        <v>31.869206607724522</v>
      </c>
      <c r="H160" s="5">
        <f>383/126</f>
        <v>3.0396825396825395</v>
      </c>
    </row>
    <row r="161" spans="1:8" x14ac:dyDescent="0.15">
      <c r="A161" s="1">
        <v>45980</v>
      </c>
      <c r="B161" t="s">
        <v>3</v>
      </c>
      <c r="C161" s="5">
        <f>7739/36</f>
        <v>214.97222222222223</v>
      </c>
      <c r="D161" s="4">
        <f t="shared" si="17"/>
        <v>0.14928626543209877</v>
      </c>
      <c r="E161" s="5">
        <f>4902.33/36</f>
        <v>136.17583333333334</v>
      </c>
      <c r="F161" s="5">
        <f>4410.03/36</f>
        <v>122.50083333333333</v>
      </c>
      <c r="G161" s="5">
        <f>4902.33/(7739/60)</f>
        <v>38.007468665202225</v>
      </c>
      <c r="H161" s="5">
        <f>181/36</f>
        <v>5.0277777777777777</v>
      </c>
    </row>
    <row r="162" spans="1:8" x14ac:dyDescent="0.15">
      <c r="A162" s="1">
        <v>45981</v>
      </c>
      <c r="B162" t="s">
        <v>2</v>
      </c>
      <c r="C162" s="5">
        <f>18163/126</f>
        <v>144.15079365079364</v>
      </c>
      <c r="D162" s="4">
        <f t="shared" si="17"/>
        <v>0.10010471781305114</v>
      </c>
      <c r="E162" s="5">
        <f>9341.08/126</f>
        <v>74.135555555555555</v>
      </c>
      <c r="F162" s="5">
        <f>3132.18/126</f>
        <v>24.858571428571427</v>
      </c>
      <c r="G162" s="5">
        <f>9341.08/(18163/60)</f>
        <v>30.85750151406706</v>
      </c>
      <c r="H162" s="5">
        <f>404/126</f>
        <v>3.2063492063492065</v>
      </c>
    </row>
    <row r="163" spans="1:8" x14ac:dyDescent="0.15">
      <c r="A163" s="1">
        <v>45981</v>
      </c>
      <c r="B163" t="s">
        <v>3</v>
      </c>
      <c r="C163" s="5">
        <f>6052/36</f>
        <v>168.11111111111111</v>
      </c>
      <c r="D163" s="4">
        <f t="shared" si="17"/>
        <v>0.11674382716049383</v>
      </c>
      <c r="E163" s="5">
        <f>4084.06/36</f>
        <v>113.44611111111111</v>
      </c>
      <c r="F163" s="5">
        <f>1024.14/36</f>
        <v>28.448333333333338</v>
      </c>
      <c r="G163" s="5">
        <f>4084.06/(6052/60)</f>
        <v>40.489689358889628</v>
      </c>
      <c r="H163" s="5">
        <f>146/36</f>
        <v>4.0555555555555554</v>
      </c>
    </row>
    <row r="164" spans="1:8" x14ac:dyDescent="0.15">
      <c r="A164" s="1">
        <v>45982</v>
      </c>
      <c r="B164" t="s">
        <v>2</v>
      </c>
      <c r="C164" s="5">
        <f>18603/126</f>
        <v>147.64285714285714</v>
      </c>
      <c r="D164" s="4">
        <f t="shared" si="17"/>
        <v>0.1025297619047619</v>
      </c>
      <c r="E164" s="5">
        <f>9400.87/126</f>
        <v>74.610079365079372</v>
      </c>
      <c r="F164" s="5">
        <f>3134.01/126</f>
        <v>24.873095238095239</v>
      </c>
      <c r="G164" s="5">
        <f>9400.87/(18603/60)</f>
        <v>30.320496694081601</v>
      </c>
      <c r="H164" s="5">
        <f>407/126</f>
        <v>3.2301587301587302</v>
      </c>
    </row>
    <row r="165" spans="1:8" x14ac:dyDescent="0.15">
      <c r="A165" s="1">
        <v>45982</v>
      </c>
      <c r="B165" t="s">
        <v>3</v>
      </c>
      <c r="C165" s="5">
        <f>7870/36</f>
        <v>218.61111111111111</v>
      </c>
      <c r="D165" s="4">
        <f t="shared" si="17"/>
        <v>0.15181327160493827</v>
      </c>
      <c r="E165" s="5">
        <f>4978.18/36</f>
        <v>138.2827777777778</v>
      </c>
      <c r="F165" s="5">
        <f>1290.75/36</f>
        <v>35.854166666666664</v>
      </c>
      <c r="G165" s="5">
        <f>4978.18/(7870/60)</f>
        <v>37.953087674714112</v>
      </c>
      <c r="H165" s="5">
        <f>173/36</f>
        <v>4.8055555555555554</v>
      </c>
    </row>
    <row r="166" spans="1:8" x14ac:dyDescent="0.15">
      <c r="A166" s="1">
        <v>45983</v>
      </c>
      <c r="B166" t="s">
        <v>2</v>
      </c>
      <c r="C166" s="5">
        <f>17923/126</f>
        <v>142.24603174603175</v>
      </c>
      <c r="D166" s="4">
        <f t="shared" ref="D166:D171" si="18">C166/(24*60)</f>
        <v>9.8781966490299827E-2</v>
      </c>
      <c r="E166" s="5">
        <f>9503.73/126</f>
        <v>75.426428571428573</v>
      </c>
      <c r="F166" s="5">
        <f>3149.8/126</f>
        <v>24.9984126984127</v>
      </c>
      <c r="G166" s="5">
        <f>9503.73/(17923/60)</f>
        <v>31.815198348490767</v>
      </c>
      <c r="H166" s="5">
        <f>405/126</f>
        <v>3.2142857142857144</v>
      </c>
    </row>
    <row r="167" spans="1:8" x14ac:dyDescent="0.15">
      <c r="A167" s="1">
        <v>45983</v>
      </c>
      <c r="B167" t="s">
        <v>3</v>
      </c>
      <c r="C167" s="5">
        <f>7776/36</f>
        <v>216</v>
      </c>
      <c r="D167" s="4">
        <f t="shared" si="18"/>
        <v>0.15</v>
      </c>
      <c r="E167" s="5">
        <f>5214.63/36</f>
        <v>144.85083333333333</v>
      </c>
      <c r="F167" s="5">
        <f>1303.53/36</f>
        <v>36.209166666666668</v>
      </c>
      <c r="G167" s="5">
        <f>5214.63/(7776/60)</f>
        <v>40.236342592592592</v>
      </c>
      <c r="H167" s="5">
        <f>188/36</f>
        <v>5.2222222222222223</v>
      </c>
    </row>
    <row r="168" spans="1:8" x14ac:dyDescent="0.15">
      <c r="A168" s="1">
        <v>45984</v>
      </c>
      <c r="B168" t="s">
        <v>2</v>
      </c>
      <c r="C168" s="5">
        <f>16247/126</f>
        <v>128.94444444444446</v>
      </c>
      <c r="D168" s="4">
        <f t="shared" si="18"/>
        <v>8.9544753086419765E-2</v>
      </c>
      <c r="E168" s="5">
        <f>8696.35/126</f>
        <v>69.018650793650792</v>
      </c>
      <c r="F168" s="5">
        <f>2891.55/126</f>
        <v>22.948809523809526</v>
      </c>
      <c r="G168" s="5">
        <f>8696.35/(16247/60)</f>
        <v>32.115529020742287</v>
      </c>
      <c r="H168" s="5">
        <f>369/126</f>
        <v>2.9285714285714284</v>
      </c>
    </row>
    <row r="169" spans="1:8" x14ac:dyDescent="0.15">
      <c r="A169" s="1">
        <v>45984</v>
      </c>
      <c r="B169" t="s">
        <v>3</v>
      </c>
      <c r="C169" s="5">
        <f>6088/36</f>
        <v>169.11111111111111</v>
      </c>
      <c r="D169" s="4">
        <f t="shared" si="18"/>
        <v>0.11743827160493828</v>
      </c>
      <c r="E169" s="5">
        <f>3771.38/36</f>
        <v>104.76055555555556</v>
      </c>
      <c r="F169" s="5">
        <f>946.75/36</f>
        <v>26.298611111111111</v>
      </c>
      <c r="G169" s="5">
        <f>3771.38/(6088/60)</f>
        <v>37.168659658344282</v>
      </c>
      <c r="H169" s="5">
        <f>150/36</f>
        <v>4.166666666666667</v>
      </c>
    </row>
    <row r="170" spans="1:8" x14ac:dyDescent="0.15">
      <c r="A170" s="1">
        <v>45985</v>
      </c>
      <c r="B170" t="s">
        <v>2</v>
      </c>
      <c r="C170" s="5">
        <f>16756/126</f>
        <v>132.98412698412699</v>
      </c>
      <c r="D170" s="4">
        <f t="shared" si="18"/>
        <v>9.2350088183421525E-2</v>
      </c>
      <c r="E170" s="5">
        <f>8534.87/126</f>
        <v>67.737063492063498</v>
      </c>
      <c r="F170" s="5">
        <f>2770.42/126</f>
        <v>21.987460317460318</v>
      </c>
      <c r="G170" s="5">
        <f>8534.87/(16756/60)</f>
        <v>30.561721174504658</v>
      </c>
      <c r="H170" s="5">
        <f>370/126</f>
        <v>2.9365079365079363</v>
      </c>
    </row>
    <row r="171" spans="1:8" x14ac:dyDescent="0.15">
      <c r="A171" s="1">
        <v>45985</v>
      </c>
      <c r="B171" t="s">
        <v>3</v>
      </c>
      <c r="C171" s="5">
        <f>5905/36</f>
        <v>164.02777777777777</v>
      </c>
      <c r="D171" s="4">
        <f t="shared" si="18"/>
        <v>0.11390817901234568</v>
      </c>
      <c r="E171" s="5">
        <f>3778.09/36</f>
        <v>104.94694444444445</v>
      </c>
      <c r="F171" s="5">
        <f>1007.54/36</f>
        <v>27.987222222222222</v>
      </c>
      <c r="G171" s="5">
        <f>3778.09/(5905/60)</f>
        <v>38.388721422523282</v>
      </c>
      <c r="H171" s="5">
        <f>143/36</f>
        <v>3.9722222222222223</v>
      </c>
    </row>
    <row r="172" spans="1:8" x14ac:dyDescent="0.15">
      <c r="A172" s="1">
        <v>45986</v>
      </c>
      <c r="B172" t="s">
        <v>2</v>
      </c>
      <c r="C172" s="5">
        <f>15719/126</f>
        <v>124.75396825396825</v>
      </c>
      <c r="D172" s="4">
        <f t="shared" ref="D172:D177" si="19">C172/(24*60)</f>
        <v>8.6634700176366847E-2</v>
      </c>
      <c r="E172" s="5">
        <f>8144.57/126</f>
        <v>64.639444444444436</v>
      </c>
      <c r="F172" s="5">
        <f>2728.64/126</f>
        <v>21.655873015873016</v>
      </c>
      <c r="G172" s="5">
        <f>8144.57/(15719/60)</f>
        <v>31.088122654112855</v>
      </c>
      <c r="H172" s="5">
        <f>357/126</f>
        <v>2.8333333333333335</v>
      </c>
    </row>
    <row r="173" spans="1:8" x14ac:dyDescent="0.15">
      <c r="A173" s="1">
        <v>45986</v>
      </c>
      <c r="B173" t="s">
        <v>3</v>
      </c>
      <c r="C173" s="5">
        <f>6336/36</f>
        <v>176</v>
      </c>
      <c r="D173" s="4">
        <f t="shared" si="19"/>
        <v>0.12222222222222222</v>
      </c>
      <c r="E173" s="5">
        <f>4037.14/36</f>
        <v>112.14277777777778</v>
      </c>
      <c r="F173" s="5">
        <f>999.4/36</f>
        <v>27.761111111111109</v>
      </c>
      <c r="G173" s="5">
        <f>4037.14/(6336/60)</f>
        <v>38.230492424242428</v>
      </c>
      <c r="H173" s="5">
        <f>156/36</f>
        <v>4.333333333333333</v>
      </c>
    </row>
    <row r="174" spans="1:8" x14ac:dyDescent="0.15">
      <c r="A174" s="1">
        <v>45987</v>
      </c>
      <c r="B174" t="s">
        <v>2</v>
      </c>
      <c r="C174" s="5">
        <f>15319/126</f>
        <v>121.57936507936508</v>
      </c>
      <c r="D174" s="4">
        <f t="shared" si="19"/>
        <v>8.4430114638447976E-2</v>
      </c>
      <c r="E174" s="5">
        <f>7978.38/126</f>
        <v>63.320476190476192</v>
      </c>
      <c r="F174" s="5">
        <f>2656.3/126</f>
        <v>21.081746031746032</v>
      </c>
      <c r="G174" s="5">
        <f>7978.38/(15319/60)</f>
        <v>31.24895880932176</v>
      </c>
      <c r="H174" s="5">
        <f>342/126</f>
        <v>2.7142857142857144</v>
      </c>
    </row>
    <row r="175" spans="1:8" x14ac:dyDescent="0.15">
      <c r="A175" s="1">
        <v>45987</v>
      </c>
      <c r="B175" t="s">
        <v>3</v>
      </c>
      <c r="C175" s="5">
        <f>8202/36</f>
        <v>227.83333333333334</v>
      </c>
      <c r="D175" s="4">
        <f t="shared" si="19"/>
        <v>0.1582175925925926</v>
      </c>
      <c r="E175" s="5">
        <f>5264.22/36</f>
        <v>146.22833333333335</v>
      </c>
      <c r="F175" s="5">
        <f>1349.22/36</f>
        <v>37.478333333333332</v>
      </c>
      <c r="G175" s="5">
        <f>5264.22/(8202/60)</f>
        <v>38.509290416971474</v>
      </c>
      <c r="H175" s="5">
        <f>189/36</f>
        <v>5.25</v>
      </c>
    </row>
    <row r="176" spans="1:8" x14ac:dyDescent="0.15">
      <c r="A176" s="1">
        <v>45988</v>
      </c>
      <c r="B176" t="s">
        <v>2</v>
      </c>
      <c r="C176" s="5">
        <f>15245/126</f>
        <v>120.99206349206349</v>
      </c>
      <c r="D176" s="4">
        <f t="shared" si="19"/>
        <v>8.4022266313932975E-2</v>
      </c>
      <c r="E176" s="5">
        <f>8224.8/126</f>
        <v>65.276190476190465</v>
      </c>
      <c r="F176" s="5">
        <f>2762.38/126</f>
        <v>21.923650793650793</v>
      </c>
      <c r="G176" s="5">
        <f>8224.8/(15245/60)</f>
        <v>32.370482125286976</v>
      </c>
      <c r="H176" s="5">
        <f>341/126</f>
        <v>2.7063492063492065</v>
      </c>
    </row>
    <row r="177" spans="1:8" x14ac:dyDescent="0.15">
      <c r="A177" s="1">
        <v>45988</v>
      </c>
      <c r="B177" t="s">
        <v>3</v>
      </c>
      <c r="C177" s="5">
        <f>6480/36</f>
        <v>180</v>
      </c>
      <c r="D177" s="4">
        <f t="shared" si="19"/>
        <v>0.125</v>
      </c>
      <c r="E177" s="5">
        <f>4637.62/36</f>
        <v>128.82277777777779</v>
      </c>
      <c r="F177" s="5">
        <f>1192.38/36</f>
        <v>33.12166666666667</v>
      </c>
      <c r="G177" s="5">
        <f>4637.62/(6480/60)</f>
        <v>42.940925925925924</v>
      </c>
      <c r="H177" s="5">
        <f>169/36</f>
        <v>4.6944444444444446</v>
      </c>
    </row>
    <row r="178" spans="1:8" x14ac:dyDescent="0.15">
      <c r="A178" s="1">
        <v>45989</v>
      </c>
      <c r="B178" t="s">
        <v>2</v>
      </c>
      <c r="C178" s="5">
        <f>18017/126</f>
        <v>142.99206349206349</v>
      </c>
      <c r="D178" s="4">
        <f t="shared" ref="D178:D183" si="20">C178/(24*60)</f>
        <v>9.9300044091710754E-2</v>
      </c>
      <c r="E178" s="5">
        <f>9150.9/126</f>
        <v>72.626190476190473</v>
      </c>
      <c r="F178" s="5">
        <f>3056.78/126</f>
        <v>24.260158730158732</v>
      </c>
      <c r="G178" s="5">
        <f>9150.9/(18017/60)</f>
        <v>30.474218793361821</v>
      </c>
      <c r="H178" s="5">
        <f>401/126</f>
        <v>3.1825396825396823</v>
      </c>
    </row>
    <row r="179" spans="1:8" x14ac:dyDescent="0.15">
      <c r="A179" s="1">
        <v>45989</v>
      </c>
      <c r="B179" t="s">
        <v>3</v>
      </c>
      <c r="C179" s="5">
        <f>7536/36</f>
        <v>209.33333333333334</v>
      </c>
      <c r="D179" s="4">
        <f t="shared" si="20"/>
        <v>0.14537037037037037</v>
      </c>
      <c r="E179" s="5">
        <f>5278.48/36</f>
        <v>146.62444444444444</v>
      </c>
      <c r="F179" s="5">
        <f>1352.8/36</f>
        <v>37.577777777777776</v>
      </c>
      <c r="G179" s="5">
        <f>5278.48/(7536/60)</f>
        <v>42.026114649681524</v>
      </c>
      <c r="H179" s="5">
        <f>185/36</f>
        <v>5.1388888888888893</v>
      </c>
    </row>
    <row r="180" spans="1:8" x14ac:dyDescent="0.15">
      <c r="A180" s="1">
        <v>45990</v>
      </c>
      <c r="B180" t="s">
        <v>2</v>
      </c>
      <c r="C180" s="5">
        <f>16476/126</f>
        <v>130.76190476190476</v>
      </c>
      <c r="D180" s="4">
        <f t="shared" si="20"/>
        <v>9.0806878306878308E-2</v>
      </c>
      <c r="E180" s="5">
        <f>8964.73/126</f>
        <v>71.148650793650788</v>
      </c>
      <c r="F180" s="5">
        <f>2975.11/126</f>
        <v>23.61198412698413</v>
      </c>
      <c r="G180" s="5">
        <f>8964.73/(16476/60)</f>
        <v>32.64650400582665</v>
      </c>
      <c r="H180" s="5">
        <f>367/126</f>
        <v>2.9126984126984126</v>
      </c>
    </row>
    <row r="181" spans="1:8" x14ac:dyDescent="0.15">
      <c r="A181" s="1">
        <v>45990</v>
      </c>
      <c r="B181" t="s">
        <v>3</v>
      </c>
      <c r="C181" s="5">
        <f>8775/36</f>
        <v>243.75</v>
      </c>
      <c r="D181" s="4">
        <f t="shared" si="20"/>
        <v>0.16927083333333334</v>
      </c>
      <c r="E181" s="5">
        <f>5552.17/36</f>
        <v>154.22694444444446</v>
      </c>
      <c r="F181" s="5">
        <f>1406.67/36</f>
        <v>39.07416666666667</v>
      </c>
      <c r="G181" s="5">
        <f>5552.17/(8775/60)</f>
        <v>37.963555555555558</v>
      </c>
      <c r="H181" s="5">
        <f>186/36</f>
        <v>5.166666666666667</v>
      </c>
    </row>
    <row r="182" spans="1:8" x14ac:dyDescent="0.15">
      <c r="A182" s="1">
        <v>45991</v>
      </c>
      <c r="B182" t="s">
        <v>2</v>
      </c>
      <c r="C182" s="5">
        <f>15976/126</f>
        <v>126.7936507936508</v>
      </c>
      <c r="D182" s="4">
        <f t="shared" si="20"/>
        <v>8.8051146384479723E-2</v>
      </c>
      <c r="E182" s="5">
        <f>8853.3/126</f>
        <v>70.264285714285705</v>
      </c>
      <c r="F182" s="5">
        <f>2831.83/126</f>
        <v>22.474841269841271</v>
      </c>
      <c r="G182" s="5">
        <f>8853.3/(15976/60)</f>
        <v>33.249749624436653</v>
      </c>
      <c r="H182" s="5">
        <f>372/126</f>
        <v>2.9523809523809526</v>
      </c>
    </row>
    <row r="183" spans="1:8" x14ac:dyDescent="0.15">
      <c r="A183" s="1">
        <v>45991</v>
      </c>
      <c r="B183" t="s">
        <v>3</v>
      </c>
      <c r="C183" s="5">
        <f>7383/36</f>
        <v>205.08333333333334</v>
      </c>
      <c r="D183" s="4">
        <f t="shared" si="20"/>
        <v>0.14241898148148149</v>
      </c>
      <c r="E183" s="5">
        <f>5103.96/36</f>
        <v>141.77666666666667</v>
      </c>
      <c r="F183" s="5">
        <f>1372.71/36</f>
        <v>38.130833333333335</v>
      </c>
      <c r="G183" s="5">
        <f>5103.96/(7383/60)</f>
        <v>41.478748476229178</v>
      </c>
      <c r="H183" s="5">
        <f>176/36</f>
        <v>4.8888888888888893</v>
      </c>
    </row>
    <row r="184" spans="1:8" x14ac:dyDescent="0.15">
      <c r="A184" s="1">
        <v>45992</v>
      </c>
      <c r="B184" t="s">
        <v>2</v>
      </c>
      <c r="C184" s="5">
        <f>14729/126</f>
        <v>116.89682539682539</v>
      </c>
      <c r="D184" s="4">
        <f t="shared" ref="D184:D189" si="21">C184/(24*60)</f>
        <v>8.1178350970017632E-2</v>
      </c>
      <c r="E184" s="5">
        <f>7937.68/126</f>
        <v>62.997460317460323</v>
      </c>
      <c r="F184" s="5">
        <f>2593.18/126</f>
        <v>20.580793650793648</v>
      </c>
      <c r="G184" s="5">
        <f>7937.68/(14729/60)</f>
        <v>32.334903931020442</v>
      </c>
      <c r="H184" s="5">
        <f>345/126</f>
        <v>2.7380952380952381</v>
      </c>
    </row>
    <row r="185" spans="1:8" x14ac:dyDescent="0.15">
      <c r="A185" s="1">
        <v>45992</v>
      </c>
      <c r="B185" t="s">
        <v>3</v>
      </c>
      <c r="C185" s="5">
        <f>5867/36</f>
        <v>162.97222222222223</v>
      </c>
      <c r="D185" s="4">
        <f t="shared" si="21"/>
        <v>0.11317515432098765</v>
      </c>
      <c r="E185" s="5">
        <f>4236.15/36</f>
        <v>117.67083333333332</v>
      </c>
      <c r="F185" s="5">
        <f>1062.83/36</f>
        <v>29.523055555555555</v>
      </c>
      <c r="G185" s="5">
        <f>4236.15/(5867/60)</f>
        <v>43.321799897733079</v>
      </c>
      <c r="H185" s="5">
        <f>149/36</f>
        <v>4.1388888888888893</v>
      </c>
    </row>
    <row r="186" spans="1:8" x14ac:dyDescent="0.15">
      <c r="A186" s="1">
        <v>45993</v>
      </c>
      <c r="B186" t="s">
        <v>2</v>
      </c>
      <c r="C186" s="5">
        <f>15595/126</f>
        <v>123.76984126984127</v>
      </c>
      <c r="D186" s="4">
        <f t="shared" si="21"/>
        <v>8.5951278659611996E-2</v>
      </c>
      <c r="E186" s="5">
        <f>7975.17/126</f>
        <v>63.295000000000002</v>
      </c>
      <c r="F186" s="5">
        <f>2647.03/126</f>
        <v>21.008174603174606</v>
      </c>
      <c r="G186" s="5">
        <f>7975.17/(15595/60)</f>
        <v>30.68356524527092</v>
      </c>
      <c r="H186" s="5">
        <f>352/126</f>
        <v>2.7936507936507935</v>
      </c>
    </row>
    <row r="187" spans="1:8" x14ac:dyDescent="0.15">
      <c r="A187" s="1">
        <v>45993</v>
      </c>
      <c r="B187" t="s">
        <v>3</v>
      </c>
      <c r="C187" s="5">
        <f>9181/36</f>
        <v>255.02777777777777</v>
      </c>
      <c r="D187" s="4">
        <f t="shared" si="21"/>
        <v>0.17710262345679012</v>
      </c>
      <c r="E187" s="5">
        <f>5614.48/36</f>
        <v>155.95777777777778</v>
      </c>
      <c r="F187" s="5">
        <f>1442.2/36</f>
        <v>40.06111111111111</v>
      </c>
      <c r="G187" s="5">
        <f>5614.48/(9181/60)</f>
        <v>36.691950767890205</v>
      </c>
      <c r="H187" s="5">
        <f>211/36</f>
        <v>5.8611111111111107</v>
      </c>
    </row>
    <row r="188" spans="1:8" x14ac:dyDescent="0.15">
      <c r="A188" s="1">
        <v>45994</v>
      </c>
      <c r="B188" t="s">
        <v>2</v>
      </c>
      <c r="C188" s="5">
        <f>16455/126</f>
        <v>130.5952380952381</v>
      </c>
      <c r="D188" s="4">
        <f t="shared" si="21"/>
        <v>9.0691137566137572E-2</v>
      </c>
      <c r="E188" s="5">
        <f>8653.21/126</f>
        <v>68.676269841269828</v>
      </c>
      <c r="F188" s="5">
        <f>2904.55/126</f>
        <v>23.051984126984127</v>
      </c>
      <c r="G188" s="5">
        <f>8653.21/(16455/60)</f>
        <v>31.552269826800362</v>
      </c>
      <c r="H188" s="5">
        <f>373/126</f>
        <v>2.9603174603174605</v>
      </c>
    </row>
    <row r="189" spans="1:8" x14ac:dyDescent="0.15">
      <c r="A189" s="1">
        <v>45994</v>
      </c>
      <c r="B189" t="s">
        <v>3</v>
      </c>
      <c r="C189" s="5">
        <f>7910/36</f>
        <v>219.72222222222223</v>
      </c>
      <c r="D189" s="4">
        <f t="shared" si="21"/>
        <v>0.15258487654320987</v>
      </c>
      <c r="E189" s="5">
        <f>4352.49/36</f>
        <v>120.90249999999999</v>
      </c>
      <c r="F189" s="5">
        <f>1190.84/36</f>
        <v>33.078888888888883</v>
      </c>
      <c r="G189" s="5">
        <f>4352.49/(7910/60)</f>
        <v>33.015094816687736</v>
      </c>
      <c r="H189" s="5">
        <f>165/36</f>
        <v>4.583333333333333</v>
      </c>
    </row>
    <row r="190" spans="1:8" x14ac:dyDescent="0.15">
      <c r="A190" s="1">
        <v>45995</v>
      </c>
      <c r="B190" t="s">
        <v>2</v>
      </c>
      <c r="C190" s="5">
        <f>17418/126</f>
        <v>138.23809523809524</v>
      </c>
      <c r="D190" s="4">
        <f t="shared" ref="D190:D195" si="22">C190/(24*60)</f>
        <v>9.599867724867725E-2</v>
      </c>
      <c r="E190" s="5">
        <f>8580.26/126</f>
        <v>68.097301587301587</v>
      </c>
      <c r="F190" s="5">
        <f>2850.22/126</f>
        <v>22.620793650793651</v>
      </c>
      <c r="G190" s="5">
        <f>8580.26/(17418/60)</f>
        <v>29.556527729934551</v>
      </c>
      <c r="H190" s="5">
        <f>392/126</f>
        <v>3.1111111111111112</v>
      </c>
    </row>
    <row r="191" spans="1:8" x14ac:dyDescent="0.15">
      <c r="A191" s="1">
        <v>45995</v>
      </c>
      <c r="B191" t="s">
        <v>3</v>
      </c>
      <c r="C191" s="5">
        <f>7430/36</f>
        <v>206.38888888888889</v>
      </c>
      <c r="D191" s="4">
        <f t="shared" si="22"/>
        <v>0.1433256172839506</v>
      </c>
      <c r="E191" s="5">
        <f>4940.75/36</f>
        <v>137.24305555555554</v>
      </c>
      <c r="F191" s="5">
        <f>1413.67/36</f>
        <v>39.268611111111113</v>
      </c>
      <c r="G191" s="5">
        <f>4940.75/(7430/60)</f>
        <v>39.898384925975776</v>
      </c>
      <c r="H191" s="5">
        <f>170/36</f>
        <v>4.7222222222222223</v>
      </c>
    </row>
    <row r="192" spans="1:8" x14ac:dyDescent="0.15">
      <c r="A192" s="1">
        <v>45996</v>
      </c>
      <c r="B192" t="s">
        <v>2</v>
      </c>
      <c r="C192" s="5">
        <f>17574/126</f>
        <v>139.47619047619048</v>
      </c>
      <c r="D192" s="4">
        <f t="shared" si="22"/>
        <v>9.6858465608465616E-2</v>
      </c>
      <c r="E192" s="5">
        <f>8708.01/126</f>
        <v>69.111190476190473</v>
      </c>
      <c r="F192" s="5">
        <f>2907.12/126</f>
        <v>23.07238095238095</v>
      </c>
      <c r="G192" s="5">
        <f>8708.01/(17574/60)</f>
        <v>29.730317514510073</v>
      </c>
      <c r="H192" s="5">
        <f>370/126</f>
        <v>2.9365079365079363</v>
      </c>
    </row>
    <row r="193" spans="1:8" x14ac:dyDescent="0.15">
      <c r="A193" s="1">
        <v>45996</v>
      </c>
      <c r="B193" t="s">
        <v>3</v>
      </c>
      <c r="C193" s="5">
        <f>9098/36</f>
        <v>252.72222222222223</v>
      </c>
      <c r="D193" s="4">
        <f t="shared" si="22"/>
        <v>0.17550154320987654</v>
      </c>
      <c r="E193" s="5">
        <f>5598.96/36</f>
        <v>155.52666666666667</v>
      </c>
      <c r="F193" s="5">
        <f>1584.5/36</f>
        <v>44.013888888888886</v>
      </c>
      <c r="G193" s="5">
        <f>5598.96/(9098/60)</f>
        <v>36.924335018685426</v>
      </c>
      <c r="H193" s="5">
        <f>188/36</f>
        <v>5.2222222222222223</v>
      </c>
    </row>
    <row r="194" spans="1:8" x14ac:dyDescent="0.15">
      <c r="A194" s="1">
        <v>45997</v>
      </c>
      <c r="B194" t="s">
        <v>2</v>
      </c>
      <c r="C194" s="5">
        <f>19453/126</f>
        <v>154.38888888888889</v>
      </c>
      <c r="D194" s="4">
        <f t="shared" si="22"/>
        <v>0.10721450617283951</v>
      </c>
      <c r="E194" s="5">
        <f>10156.38/126</f>
        <v>80.606190476190463</v>
      </c>
      <c r="F194" s="5">
        <f>3371.76/126</f>
        <v>26.76</v>
      </c>
      <c r="G194" s="5">
        <f>10156.38/(19453/60)</f>
        <v>31.325903459620623</v>
      </c>
      <c r="H194" s="5">
        <f>436/126</f>
        <v>3.4603174603174605</v>
      </c>
    </row>
    <row r="195" spans="1:8" x14ac:dyDescent="0.15">
      <c r="A195" s="1">
        <v>45997</v>
      </c>
      <c r="B195" t="s">
        <v>3</v>
      </c>
      <c r="C195" s="5">
        <f>7493/36</f>
        <v>208.13888888888889</v>
      </c>
      <c r="D195" s="4">
        <f t="shared" si="22"/>
        <v>0.1445408950617284</v>
      </c>
      <c r="E195" s="5">
        <f>4756.08/36</f>
        <v>132.11333333333334</v>
      </c>
      <c r="F195" s="5">
        <f>1143.91/36</f>
        <v>31.775277777777781</v>
      </c>
      <c r="G195" s="5">
        <f>4756.08/(7493/60)</f>
        <v>38.084185239556916</v>
      </c>
      <c r="H195" s="5">
        <f>170/36</f>
        <v>4.7222222222222223</v>
      </c>
    </row>
    <row r="196" spans="1:8" x14ac:dyDescent="0.15">
      <c r="A196" s="1">
        <v>45998</v>
      </c>
      <c r="B196" t="s">
        <v>2</v>
      </c>
      <c r="C196" s="5">
        <f>16075/126</f>
        <v>127.57936507936508</v>
      </c>
      <c r="D196" s="4">
        <f>C196/(24*60)</f>
        <v>8.8596781305114641E-2</v>
      </c>
      <c r="E196" s="5">
        <f>8240.17/126</f>
        <v>65.39817460317461</v>
      </c>
      <c r="F196" s="5">
        <f>2604.63/126</f>
        <v>20.671666666666667</v>
      </c>
      <c r="G196" s="5">
        <f>8240.17/(16075/60)</f>
        <v>30.756466562986002</v>
      </c>
      <c r="H196" s="5">
        <f>355/126</f>
        <v>2.8174603174603177</v>
      </c>
    </row>
    <row r="197" spans="1:8" x14ac:dyDescent="0.15">
      <c r="A197" s="1">
        <v>45998</v>
      </c>
      <c r="B197" t="s">
        <v>3</v>
      </c>
      <c r="C197" s="5">
        <f>6939/36</f>
        <v>192.75</v>
      </c>
      <c r="D197" s="4">
        <f>C197/(24*60)</f>
        <v>0.13385416666666666</v>
      </c>
      <c r="E197" s="5">
        <f>4653.99/36</f>
        <v>129.2775</v>
      </c>
      <c r="F197" s="5">
        <f>1264.04/36</f>
        <v>35.112222222222222</v>
      </c>
      <c r="G197" s="5">
        <f>4653.99/(6939/60)</f>
        <v>40.242023346303498</v>
      </c>
      <c r="H197" s="5">
        <f>158/36</f>
        <v>4.3888888888888893</v>
      </c>
    </row>
    <row r="198" spans="1:8" x14ac:dyDescent="0.15">
      <c r="A198" s="1">
        <v>45999</v>
      </c>
      <c r="B198" t="s">
        <v>2</v>
      </c>
      <c r="C198" s="5">
        <f>16737/126</f>
        <v>132.83333333333334</v>
      </c>
      <c r="D198" s="4">
        <f>C198/(24*60)</f>
        <v>9.224537037037038E-2</v>
      </c>
      <c r="E198" s="5">
        <f>8839.37/126</f>
        <v>70.15373015873017</v>
      </c>
      <c r="F198" s="5">
        <f>2976.56/126</f>
        <v>23.623492063492062</v>
      </c>
      <c r="G198" s="5">
        <f>8839.37/(16737/60)</f>
        <v>31.68800860369242</v>
      </c>
      <c r="H198" s="5">
        <f>362/126</f>
        <v>2.873015873015873</v>
      </c>
    </row>
    <row r="199" spans="1:8" x14ac:dyDescent="0.15">
      <c r="A199" s="1">
        <v>45999</v>
      </c>
      <c r="B199" t="s">
        <v>3</v>
      </c>
      <c r="C199" s="5">
        <f>7993/36</f>
        <v>222.02777777777777</v>
      </c>
      <c r="D199" s="4">
        <f>C199/(24*60)</f>
        <v>0.15418595679012345</v>
      </c>
      <c r="E199" s="5">
        <f>4916.45/36</f>
        <v>136.56805555555556</v>
      </c>
      <c r="F199" s="5">
        <f>1287.05/36</f>
        <v>35.75138888888889</v>
      </c>
      <c r="G199" s="5">
        <f>4916.45/(7993/60)</f>
        <v>36.905667459026645</v>
      </c>
      <c r="H199" s="5">
        <f>185/36</f>
        <v>5.1388888888888893</v>
      </c>
    </row>
    <row r="200" spans="1:8" x14ac:dyDescent="0.15">
      <c r="A200" s="1">
        <v>46000</v>
      </c>
      <c r="B200" t="s">
        <v>2</v>
      </c>
      <c r="C200" s="5">
        <f>16064/126</f>
        <v>127.49206349206349</v>
      </c>
      <c r="D200" s="4">
        <f>C200/1440</f>
        <v>8.8536155202821876E-2</v>
      </c>
      <c r="E200" s="5">
        <f>7937.97/126</f>
        <v>62.999761904761904</v>
      </c>
      <c r="F200" s="5">
        <f>2588.88/126</f>
        <v>20.546666666666667</v>
      </c>
      <c r="G200" s="5">
        <f>7937.97/(16064/60)</f>
        <v>29.648792330677288</v>
      </c>
      <c r="H200" s="5">
        <f>353/126</f>
        <v>2.8015873015873014</v>
      </c>
    </row>
    <row r="201" spans="1:8" x14ac:dyDescent="0.15">
      <c r="A201" s="1">
        <v>46000</v>
      </c>
      <c r="B201" t="s">
        <v>3</v>
      </c>
      <c r="C201" s="5">
        <f>6779/36</f>
        <v>188.30555555555554</v>
      </c>
      <c r="D201" s="4">
        <f>C201/1440</f>
        <v>0.13076774691358023</v>
      </c>
      <c r="E201" s="5">
        <f>4188.15/36</f>
        <v>116.33749999999999</v>
      </c>
      <c r="F201" s="5">
        <f>1159.55/36</f>
        <v>32.209722222222219</v>
      </c>
      <c r="G201" s="5">
        <f>4188.15/(6779/60)</f>
        <v>37.068741702315975</v>
      </c>
      <c r="H201" s="5">
        <f>165/36</f>
        <v>4.583333333333333</v>
      </c>
    </row>
    <row r="202" spans="1:8" x14ac:dyDescent="0.15">
      <c r="A202" s="1">
        <v>46001</v>
      </c>
      <c r="B202" t="s">
        <v>2</v>
      </c>
      <c r="C202" s="5">
        <f>16947/126</f>
        <v>134.5</v>
      </c>
      <c r="D202" s="4">
        <f>C202/1440</f>
        <v>9.3402777777777779E-2</v>
      </c>
      <c r="E202" s="5">
        <f>8498.33/126</f>
        <v>67.447063492063492</v>
      </c>
      <c r="F202" s="5">
        <f>2770.04/126</f>
        <v>21.984444444444446</v>
      </c>
      <c r="G202" s="5">
        <f>8498.33/(16947/60)</f>
        <v>30.087909364489292</v>
      </c>
      <c r="H202" s="5">
        <f>374/126</f>
        <v>2.9682539682539684</v>
      </c>
    </row>
    <row r="203" spans="1:8" x14ac:dyDescent="0.15">
      <c r="A203" s="1">
        <v>46001</v>
      </c>
      <c r="B203" t="s">
        <v>3</v>
      </c>
      <c r="C203" s="5">
        <f>6930/36</f>
        <v>192.5</v>
      </c>
      <c r="D203" s="4">
        <f>C203/1440</f>
        <v>0.13368055555555555</v>
      </c>
      <c r="E203" s="5">
        <f>4483.63/36</f>
        <v>124.54527777777778</v>
      </c>
      <c r="F203" s="5">
        <f>1194.08/36</f>
        <v>33.168888888888887</v>
      </c>
      <c r="G203" s="5">
        <f>4483.63/(6930/60)</f>
        <v>38.819307359307359</v>
      </c>
      <c r="H203" s="5">
        <f>164/36</f>
        <v>4.5555555555555554</v>
      </c>
    </row>
    <row r="204" spans="1:8" x14ac:dyDescent="0.15">
      <c r="A204" s="1">
        <v>46002</v>
      </c>
      <c r="B204" t="s">
        <v>2</v>
      </c>
      <c r="C204" s="5">
        <f>16268/126</f>
        <v>129.11111111111111</v>
      </c>
      <c r="D204" s="4">
        <f>C204/1440</f>
        <v>8.9660493827160501E-2</v>
      </c>
      <c r="E204" s="5">
        <f>8172.82/126</f>
        <v>64.863650793650791</v>
      </c>
      <c r="F204" s="5">
        <f>2728.39/126</f>
        <v>21.653888888888886</v>
      </c>
      <c r="G204" s="5">
        <f>8172.82/(16268/60)</f>
        <v>30.143176788787805</v>
      </c>
      <c r="H204" s="5">
        <f>372/126</f>
        <v>2.9523809523809526</v>
      </c>
    </row>
    <row r="205" spans="1:8" x14ac:dyDescent="0.15">
      <c r="A205" s="1">
        <v>46002</v>
      </c>
      <c r="B205" t="s">
        <v>3</v>
      </c>
      <c r="C205" s="5">
        <f>6308/36</f>
        <v>175.22222222222223</v>
      </c>
      <c r="D205" s="4">
        <f>C205/1440</f>
        <v>0.12168209876543211</v>
      </c>
      <c r="E205" s="5">
        <f>4169.42/36</f>
        <v>115.81722222222223</v>
      </c>
      <c r="F205" s="5">
        <f>1137.06/36</f>
        <v>31.584999999999997</v>
      </c>
      <c r="G205" s="5">
        <f>4169.42/(6308/60)</f>
        <v>39.658402029169309</v>
      </c>
      <c r="H205" s="5">
        <f>159/36</f>
        <v>4.416666666666667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K5"/>
  <sheetViews>
    <sheetView workbookViewId="0">
      <selection activeCell="H12" sqref="H12"/>
    </sheetView>
  </sheetViews>
  <sheetFormatPr defaultRowHeight="13.5" x14ac:dyDescent="0.15"/>
  <cols>
    <col min="1" max="1" width="23.875" customWidth="1"/>
    <col min="2" max="2" width="25" customWidth="1"/>
    <col min="4" max="4" width="14.5" customWidth="1"/>
    <col min="5" max="5" width="11.375" customWidth="1"/>
    <col min="6" max="6" width="15.375" customWidth="1"/>
    <col min="7" max="7" width="16.75" customWidth="1"/>
    <col min="8" max="8" width="23.125" customWidth="1"/>
    <col min="9" max="9" width="13.75" customWidth="1"/>
    <col min="10" max="10" width="15.5" customWidth="1"/>
    <col min="11" max="11" width="14" customWidth="1"/>
  </cols>
  <sheetData>
    <row r="1" spans="1:11" ht="33" customHeight="1" x14ac:dyDescent="0.15">
      <c r="A1" s="8" t="s">
        <v>10</v>
      </c>
      <c r="B1" s="8" t="s">
        <v>11</v>
      </c>
      <c r="C1" s="8" t="s">
        <v>12</v>
      </c>
      <c r="D1" s="8" t="s">
        <v>23</v>
      </c>
      <c r="E1" s="8" t="s">
        <v>22</v>
      </c>
      <c r="F1" s="8" t="s">
        <v>24</v>
      </c>
      <c r="G1" s="8" t="s">
        <v>25</v>
      </c>
      <c r="H1" s="8" t="s">
        <v>26</v>
      </c>
      <c r="I1" s="8" t="s">
        <v>20</v>
      </c>
      <c r="J1" s="8" t="s">
        <v>21</v>
      </c>
      <c r="K1" s="8" t="s">
        <v>27</v>
      </c>
    </row>
    <row r="2" spans="1:11" ht="33" customHeight="1" x14ac:dyDescent="0.15">
      <c r="A2" s="8" t="s">
        <v>13</v>
      </c>
      <c r="B2" s="8" t="s">
        <v>17</v>
      </c>
      <c r="C2" s="8" t="s">
        <v>19</v>
      </c>
      <c r="D2" s="8">
        <v>3590</v>
      </c>
      <c r="E2" s="8">
        <v>49</v>
      </c>
      <c r="F2" s="8"/>
      <c r="G2" s="8"/>
      <c r="H2" s="8"/>
      <c r="I2" s="8"/>
      <c r="J2" s="8"/>
      <c r="K2" s="8"/>
    </row>
    <row r="3" spans="1:11" ht="33" customHeight="1" x14ac:dyDescent="0.15">
      <c r="A3" s="8" t="s">
        <v>14</v>
      </c>
      <c r="B3" s="8" t="s">
        <v>17</v>
      </c>
      <c r="C3" s="8" t="s">
        <v>19</v>
      </c>
      <c r="D3" s="8">
        <v>4200</v>
      </c>
      <c r="E3" s="8">
        <v>69</v>
      </c>
      <c r="F3" s="8"/>
      <c r="G3" s="8"/>
      <c r="H3" s="8"/>
      <c r="I3" s="8"/>
      <c r="J3" s="8"/>
      <c r="K3" s="8"/>
    </row>
    <row r="4" spans="1:11" ht="33" customHeight="1" x14ac:dyDescent="0.15">
      <c r="A4" s="8" t="s">
        <v>15</v>
      </c>
      <c r="B4" s="8" t="s">
        <v>17</v>
      </c>
      <c r="C4" s="8" t="s">
        <v>19</v>
      </c>
      <c r="D4" s="8">
        <v>1200</v>
      </c>
      <c r="E4" s="8">
        <v>24</v>
      </c>
      <c r="F4" s="8"/>
      <c r="G4" s="8"/>
      <c r="H4" s="8"/>
      <c r="I4" s="8"/>
      <c r="J4" s="8"/>
      <c r="K4" s="8"/>
    </row>
    <row r="5" spans="1:11" ht="33" customHeight="1" x14ac:dyDescent="0.15">
      <c r="A5" s="8" t="s">
        <v>16</v>
      </c>
      <c r="B5" s="8" t="s">
        <v>18</v>
      </c>
      <c r="C5" s="8" t="s">
        <v>19</v>
      </c>
      <c r="D5" s="8">
        <v>2160</v>
      </c>
      <c r="E5" s="8">
        <v>36</v>
      </c>
      <c r="F5" s="8"/>
      <c r="G5" s="8"/>
      <c r="H5" s="8"/>
      <c r="I5" s="8"/>
      <c r="J5" s="8"/>
      <c r="K5" s="8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2025-12-12T03:36:38Z</dcterms:modified>
</cp:coreProperties>
</file>