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29" i="1" l="1"/>
  <c r="G229" i="1"/>
  <c r="F229" i="1"/>
  <c r="E229" i="1"/>
  <c r="D229" i="1"/>
  <c r="C229" i="1"/>
  <c r="H228" i="1"/>
  <c r="G228" i="1"/>
  <c r="F228" i="1"/>
  <c r="E228" i="1"/>
  <c r="D228" i="1"/>
  <c r="C228" i="1"/>
  <c r="H227" i="1" l="1"/>
  <c r="G227" i="1"/>
  <c r="F227" i="1"/>
  <c r="E227" i="1"/>
  <c r="D227" i="1"/>
  <c r="C227" i="1"/>
  <c r="H226" i="1"/>
  <c r="G226" i="1"/>
  <c r="F226" i="1"/>
  <c r="E226" i="1"/>
  <c r="D226" i="1"/>
  <c r="C226" i="1"/>
  <c r="H224" i="1" l="1"/>
  <c r="G224" i="1"/>
  <c r="F224" i="1"/>
  <c r="E224" i="1"/>
  <c r="D224" i="1"/>
  <c r="C224" i="1"/>
  <c r="H225" i="1"/>
  <c r="G225" i="1"/>
  <c r="F225" i="1"/>
  <c r="E225" i="1"/>
  <c r="D225" i="1"/>
  <c r="C225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<sst xmlns="http://schemas.openxmlformats.org/spreadsheetml/2006/main" count="259" uniqueCount="28">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</sst>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29"/>
  <sheetViews>
    <sheetView tabSelected="1" topLeftCell="A226" workbookViewId="0">
      <selection activeCell="I230" sqref="I230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 t="shared" ref="D220:D225" si="26"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 t="shared" si="26"/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  <row r="222" spans="1:8" x14ac:dyDescent="0.15">
      <c r="A222" s="1">
        <v>46011</v>
      </c>
      <c r="B222" t="s">
        <v>2</v>
      </c>
      <c r="C222" s="5">
        <f>15208/126</f>
        <v>120.6984126984127</v>
      </c>
      <c r="D222" s="4">
        <f t="shared" si="26"/>
        <v>8.3818342151675482E-2</v>
      </c>
      <c r="E222" s="5">
        <f>7786/126</f>
        <v>61.793650793650791</v>
      </c>
      <c r="F222" s="5">
        <f>2513/126</f>
        <v>19.944444444444443</v>
      </c>
      <c r="G222" s="5">
        <f>7786/(15208/60)</f>
        <v>30.718043135192005</v>
      </c>
      <c r="H222" s="5">
        <f>352/126</f>
        <v>2.7936507936507935</v>
      </c>
    </row>
    <row r="223" spans="1:8" x14ac:dyDescent="0.15">
      <c r="A223" s="1">
        <v>46011</v>
      </c>
      <c r="B223" t="s">
        <v>3</v>
      </c>
      <c r="C223" s="5">
        <f>6500/36</f>
        <v>180.55555555555554</v>
      </c>
      <c r="D223" s="4">
        <f t="shared" si="26"/>
        <v>0.1253858024691358</v>
      </c>
      <c r="E223" s="5">
        <f>4371/36</f>
        <v>121.41666666666667</v>
      </c>
      <c r="F223" s="5">
        <f>1163/36</f>
        <v>32.305555555555557</v>
      </c>
      <c r="G223" s="5">
        <f>4371/(6500/60)</f>
        <v>40.347692307692313</v>
      </c>
      <c r="H223" s="5">
        <f>156/36</f>
        <v>4.333333333333333</v>
      </c>
    </row>
    <row r="224" spans="1:8" x14ac:dyDescent="0.15">
      <c r="A224" s="1">
        <v>46012</v>
      </c>
      <c r="B224" t="s">
        <v>2</v>
      </c>
      <c r="C224" s="5">
        <f>17585/126</f>
        <v>139.56349206349208</v>
      </c>
      <c r="D224" s="4">
        <f t="shared" si="26"/>
        <v>9.6919091710758382E-2</v>
      </c>
      <c r="E224" s="5">
        <f>9150/126</f>
        <v>72.61904761904762</v>
      </c>
      <c r="F224" s="5">
        <f>2926/126</f>
        <v>23.222222222222221</v>
      </c>
      <c r="G224" s="5">
        <f>9150/(17585/60)</f>
        <v>31.219789593403473</v>
      </c>
      <c r="H224" s="5">
        <f>385/126</f>
        <v>3.0555555555555554</v>
      </c>
    </row>
    <row r="225" spans="1:8" x14ac:dyDescent="0.15">
      <c r="A225" s="1">
        <v>46012</v>
      </c>
      <c r="B225" t="s">
        <v>3</v>
      </c>
      <c r="C225" s="5">
        <f>6654/36</f>
        <v>184.83333333333334</v>
      </c>
      <c r="D225" s="4">
        <f t="shared" si="26"/>
        <v>0.12835648148148149</v>
      </c>
      <c r="E225" s="5">
        <f>4651/36</f>
        <v>129.19444444444446</v>
      </c>
      <c r="F225" s="5">
        <f>1228/36</f>
        <v>34.111111111111114</v>
      </c>
      <c r="G225" s="5">
        <f>4651/(6654/60)</f>
        <v>41.938683498647428</v>
      </c>
      <c r="H225" s="5">
        <f>157/36</f>
        <v>4.3611111111111107</v>
      </c>
    </row>
    <row r="226" spans="1:8" x14ac:dyDescent="0.15">
      <c r="A226" s="1">
        <v>46013</v>
      </c>
      <c r="B226" t="s">
        <v>2</v>
      </c>
      <c r="C226" s="5">
        <f>17750/126</f>
        <v>140.87301587301587</v>
      </c>
      <c r="D226" s="4">
        <f>C226/1440</f>
        <v>9.7828483245149908E-2</v>
      </c>
      <c r="E226" s="5">
        <f>8898/126</f>
        <v>70.61904761904762</v>
      </c>
      <c r="F226" s="5">
        <f>2872/126</f>
        <v>22.793650793650794</v>
      </c>
      <c r="G226" s="5">
        <f>8898/(17750/60)</f>
        <v>30.077746478873241</v>
      </c>
      <c r="H226" s="5">
        <f>286/126</f>
        <v>2.2698412698412698</v>
      </c>
    </row>
    <row r="227" spans="1:8" x14ac:dyDescent="0.15">
      <c r="A227" s="1">
        <v>46013</v>
      </c>
      <c r="B227" t="s">
        <v>3</v>
      </c>
      <c r="C227" s="5">
        <f>8384/36</f>
        <v>232.88888888888889</v>
      </c>
      <c r="D227" s="4">
        <f>C227/1440</f>
        <v>0.1617283950617284</v>
      </c>
      <c r="E227" s="5">
        <f>5621/36</f>
        <v>156.13888888888889</v>
      </c>
      <c r="F227" s="5">
        <f>1378/36</f>
        <v>38.277777777777779</v>
      </c>
      <c r="G227" s="5">
        <f>5621/(8384/60)</f>
        <v>40.226622137404583</v>
      </c>
      <c r="H227" s="5">
        <f>207/36</f>
        <v>5.75</v>
      </c>
    </row>
    <row r="228" spans="1:8" x14ac:dyDescent="0.15">
      <c r="A228" s="1">
        <v>46014</v>
      </c>
      <c r="B228" t="s">
        <v>2</v>
      </c>
      <c r="C228" s="5">
        <f>17266/126</f>
        <v>137.03174603174602</v>
      </c>
      <c r="D228" s="4">
        <f>C228/1440</f>
        <v>9.5160934744268066E-2</v>
      </c>
      <c r="E228" s="5">
        <f>8753/126</f>
        <v>69.468253968253961</v>
      </c>
      <c r="F228" s="5">
        <f>2895/126</f>
        <v>22.976190476190474</v>
      </c>
      <c r="G228" s="5">
        <f>8753/(17266/60)</f>
        <v>30.417004517548943</v>
      </c>
      <c r="H228" s="5">
        <f>374/126</f>
        <v>2.9682539682539684</v>
      </c>
    </row>
    <row r="229" spans="1:8" x14ac:dyDescent="0.15">
      <c r="A229" s="1">
        <v>46014</v>
      </c>
      <c r="B229" t="s">
        <v>3</v>
      </c>
      <c r="C229" s="5">
        <f>7996/36</f>
        <v>222.11111111111111</v>
      </c>
      <c r="D229" s="4">
        <f>C229/1440</f>
        <v>0.15424382716049384</v>
      </c>
      <c r="E229" s="5">
        <f>5074.23/36</f>
        <v>140.95083333333332</v>
      </c>
      <c r="F229" s="5">
        <f>1289/36</f>
        <v>35.805555555555557</v>
      </c>
      <c r="G229" s="5">
        <f>5074/(7996/60)</f>
        <v>38.074037018509252</v>
      </c>
      <c r="H229" s="5">
        <f>183/36</f>
        <v>5.083333333333333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2025-12-23T23:47:32Z</dcterms:modified>
</cp:coreProperties>
</file>