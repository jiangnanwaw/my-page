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39" i="1" l="1"/>
  <c r="G239" i="1"/>
  <c r="F239" i="1"/>
  <c r="E239" i="1"/>
  <c r="D239" i="1"/>
  <c r="C239" i="1"/>
  <c r="H238" i="1"/>
  <c r="G238" i="1"/>
  <c r="F238" i="1"/>
  <c r="E238" i="1"/>
  <c r="D238" i="1"/>
  <c r="C238" i="1"/>
  <c r="H237" i="1" l="1"/>
  <c r="G237" i="1"/>
  <c r="F237" i="1"/>
  <c r="E237" i="1"/>
  <c r="D237" i="1"/>
  <c r="C237" i="1"/>
  <c r="H236" i="1"/>
  <c r="G236" i="1"/>
  <c r="F236" i="1"/>
  <c r="E236" i="1"/>
  <c r="D236" i="1"/>
  <c r="C236" i="1"/>
  <c r="H235" i="1" l="1"/>
  <c r="G235" i="1"/>
  <c r="F235" i="1"/>
  <c r="E235" i="1"/>
  <c r="D235" i="1"/>
  <c r="C235" i="1"/>
  <c r="H234" i="1"/>
  <c r="G234" i="1"/>
  <c r="F234" i="1"/>
  <c r="E234" i="1"/>
  <c r="D234" i="1"/>
  <c r="C234" i="1"/>
  <c r="H233" i="1" l="1"/>
  <c r="G233" i="1"/>
  <c r="F233" i="1"/>
  <c r="E233" i="1"/>
  <c r="D233" i="1"/>
  <c r="C233" i="1"/>
  <c r="H232" i="1"/>
  <c r="G232" i="1"/>
  <c r="F232" i="1"/>
  <c r="E232" i="1"/>
  <c r="D232" i="1"/>
  <c r="C232" i="1"/>
  <c r="H231" i="1" l="1"/>
  <c r="G231" i="1"/>
  <c r="F231" i="1"/>
  <c r="E231" i="1"/>
  <c r="D231" i="1"/>
  <c r="C231" i="1"/>
  <c r="H230" i="1"/>
  <c r="G230" i="1"/>
  <c r="F230" i="1"/>
  <c r="E230" i="1"/>
  <c r="D230" i="1"/>
  <c r="C230" i="1"/>
  <c r="H229" i="1" l="1"/>
  <c r="G229" i="1"/>
  <c r="F229" i="1"/>
  <c r="E229" i="1"/>
  <c r="D229" i="1"/>
  <c r="C229" i="1"/>
  <c r="H228" i="1"/>
  <c r="G228" i="1"/>
  <c r="F228" i="1"/>
  <c r="E228" i="1"/>
  <c r="D228" i="1"/>
  <c r="C228" i="1"/>
  <c r="H227" i="1" l="1"/>
  <c r="G227" i="1"/>
  <c r="F227" i="1"/>
  <c r="E227" i="1"/>
  <c r="D227" i="1"/>
  <c r="C227" i="1"/>
  <c r="H226" i="1"/>
  <c r="G226" i="1"/>
  <c r="F226" i="1"/>
  <c r="E226" i="1"/>
  <c r="D226" i="1"/>
  <c r="C226" i="1"/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<sst xmlns="http://schemas.openxmlformats.org/spreadsheetml/2006/main" count="269" uniqueCount="28">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</sst>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39"/>
  <sheetViews>
    <sheetView tabSelected="1" topLeftCell="A229" workbookViewId="0">
      <selection activeCell="J238" sqref="J238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 t="shared" ref="D226:D231" si="27"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 t="shared" si="27"/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  <row r="228" spans="1:8" x14ac:dyDescent="0.15">
      <c r="A228" s="1">
        <v>46014</v>
      </c>
      <c r="B228" t="s">
        <v>2</v>
      </c>
      <c r="C228" s="5">
        <f>17266/126</f>
        <v>137.03174603174602</v>
      </c>
      <c r="D228" s="4">
        <f t="shared" si="27"/>
        <v>9.5160934744268066E-2</v>
      </c>
      <c r="E228" s="5">
        <f>8753/126</f>
        <v>69.468253968253961</v>
      </c>
      <c r="F228" s="5">
        <f>2895/126</f>
        <v>22.976190476190474</v>
      </c>
      <c r="G228" s="5">
        <f>8753/(17266/60)</f>
        <v>30.417004517548943</v>
      </c>
      <c r="H228" s="5">
        <f>374/126</f>
        <v>2.9682539682539684</v>
      </c>
    </row>
    <row r="229" spans="1:8" x14ac:dyDescent="0.15">
      <c r="A229" s="1">
        <v>46014</v>
      </c>
      <c r="B229" t="s">
        <v>3</v>
      </c>
      <c r="C229" s="5">
        <f>7996/36</f>
        <v>222.11111111111111</v>
      </c>
      <c r="D229" s="4">
        <f t="shared" si="27"/>
        <v>0.15424382716049384</v>
      </c>
      <c r="E229" s="5">
        <f>5074.23/36</f>
        <v>140.95083333333332</v>
      </c>
      <c r="F229" s="5">
        <f>1289/36</f>
        <v>35.805555555555557</v>
      </c>
      <c r="G229" s="5">
        <f>5074/(7996/60)</f>
        <v>38.074037018509252</v>
      </c>
      <c r="H229" s="5">
        <f>183/36</f>
        <v>5.083333333333333</v>
      </c>
    </row>
    <row r="230" spans="1:8" x14ac:dyDescent="0.15">
      <c r="A230" s="1">
        <v>46015</v>
      </c>
      <c r="B230" t="s">
        <v>2</v>
      </c>
      <c r="C230" s="5">
        <f>21692/126</f>
        <v>172.15873015873015</v>
      </c>
      <c r="D230" s="4">
        <f t="shared" si="27"/>
        <v>0.11955467372134038</v>
      </c>
      <c r="E230" s="5">
        <f>10754/126</f>
        <v>85.349206349206355</v>
      </c>
      <c r="F230" s="5">
        <f>3508/126</f>
        <v>27.841269841269842</v>
      </c>
      <c r="G230" s="5">
        <f>10754/(21692/60)</f>
        <v>29.745528305366033</v>
      </c>
      <c r="H230" s="5">
        <f>439/126</f>
        <v>3.4841269841269842</v>
      </c>
    </row>
    <row r="231" spans="1:8" x14ac:dyDescent="0.15">
      <c r="A231" s="1">
        <v>46015</v>
      </c>
      <c r="B231" t="s">
        <v>3</v>
      </c>
      <c r="C231" s="5">
        <f>8421/36</f>
        <v>233.91666666666666</v>
      </c>
      <c r="D231" s="4">
        <f t="shared" si="27"/>
        <v>0.16244212962962962</v>
      </c>
      <c r="E231" s="5">
        <f>5147/36</f>
        <v>142.97222222222223</v>
      </c>
      <c r="F231" s="5">
        <f>1375/36</f>
        <v>38.194444444444443</v>
      </c>
      <c r="G231" s="5">
        <f>5147/(8421/60)</f>
        <v>36.672604203776274</v>
      </c>
      <c r="H231" s="5">
        <f>182/36</f>
        <v>5.0555555555555554</v>
      </c>
    </row>
    <row r="232" spans="1:8" x14ac:dyDescent="0.15">
      <c r="A232" s="1">
        <v>46016</v>
      </c>
      <c r="B232" t="s">
        <v>2</v>
      </c>
      <c r="C232" s="5">
        <f>21598/126</f>
        <v>171.4126984126984</v>
      </c>
      <c r="D232" s="4">
        <f t="shared" ref="D232:D237" si="28">C232/1440</f>
        <v>0.11903659611992945</v>
      </c>
      <c r="E232" s="5">
        <f>10431/126</f>
        <v>82.785714285714292</v>
      </c>
      <c r="F232" s="5">
        <f>3547/126</f>
        <v>28.150793650793652</v>
      </c>
      <c r="G232" s="5">
        <f>10431/(21598/60)</f>
        <v>28.977683118807299</v>
      </c>
      <c r="H232" s="5">
        <f>438/126</f>
        <v>3.4761904761904763</v>
      </c>
    </row>
    <row r="233" spans="1:8" x14ac:dyDescent="0.15">
      <c r="A233" s="1">
        <v>46016</v>
      </c>
      <c r="B233" t="s">
        <v>3</v>
      </c>
      <c r="C233" s="5">
        <f>9941/36</f>
        <v>276.13888888888891</v>
      </c>
      <c r="D233" s="4">
        <f t="shared" si="28"/>
        <v>0.19176311728395062</v>
      </c>
      <c r="E233" s="5">
        <f>6540/36</f>
        <v>181.66666666666666</v>
      </c>
      <c r="F233" s="5">
        <f>1724/36</f>
        <v>47.888888888888886</v>
      </c>
      <c r="G233" s="5">
        <f>6540/(9941/60)</f>
        <v>39.472890051302684</v>
      </c>
      <c r="H233" s="5">
        <f>222/36</f>
        <v>6.166666666666667</v>
      </c>
    </row>
    <row r="234" spans="1:8" x14ac:dyDescent="0.15">
      <c r="A234" s="1">
        <v>46017</v>
      </c>
      <c r="B234" t="s">
        <v>2</v>
      </c>
      <c r="C234" s="5">
        <f>21253/126</f>
        <v>168.67460317460316</v>
      </c>
      <c r="D234" s="4">
        <f t="shared" si="28"/>
        <v>0.11713514109347442</v>
      </c>
      <c r="E234" s="5">
        <f>10476/126</f>
        <v>83.142857142857139</v>
      </c>
      <c r="F234" s="5">
        <f>3453/126</f>
        <v>27.404761904761905</v>
      </c>
      <c r="G234" s="5">
        <f>10476/(21253/60)</f>
        <v>29.575118806756695</v>
      </c>
      <c r="H234" s="5">
        <f>423/126</f>
        <v>3.3571428571428572</v>
      </c>
    </row>
    <row r="235" spans="1:8" x14ac:dyDescent="0.15">
      <c r="A235" s="1">
        <v>46017</v>
      </c>
      <c r="B235" t="s">
        <v>3</v>
      </c>
      <c r="C235" s="5">
        <f>8990/36</f>
        <v>249.72222222222223</v>
      </c>
      <c r="D235" s="4">
        <f t="shared" si="28"/>
        <v>0.17341820987654322</v>
      </c>
      <c r="E235" s="5">
        <f>6068/36</f>
        <v>168.55555555555554</v>
      </c>
      <c r="F235" s="5">
        <f>1619/36</f>
        <v>44.972222222222221</v>
      </c>
      <c r="G235" s="5">
        <f>6068/(8990/60)</f>
        <v>40.49833147942158</v>
      </c>
      <c r="H235" s="5">
        <f>203/36</f>
        <v>5.6388888888888893</v>
      </c>
    </row>
    <row r="236" spans="1:8" x14ac:dyDescent="0.15">
      <c r="A236" s="1">
        <v>46018</v>
      </c>
      <c r="B236" t="s">
        <v>2</v>
      </c>
      <c r="C236" s="5">
        <f>18541/126</f>
        <v>147.15079365079364</v>
      </c>
      <c r="D236" s="4">
        <f t="shared" si="28"/>
        <v>0.10218805114638448</v>
      </c>
      <c r="E236" s="5">
        <f>9217/126</f>
        <v>73.150793650793645</v>
      </c>
      <c r="F236" s="5">
        <f>3062/126</f>
        <v>24.301587301587301</v>
      </c>
      <c r="G236" s="5">
        <f>9217/(18541/60)</f>
        <v>29.826870179601965</v>
      </c>
      <c r="H236" s="5">
        <f>377/126</f>
        <v>2.9920634920634921</v>
      </c>
    </row>
    <row r="237" spans="1:8" x14ac:dyDescent="0.15">
      <c r="A237" s="1">
        <v>46018</v>
      </c>
      <c r="B237" t="s">
        <v>3</v>
      </c>
      <c r="C237" s="5">
        <f>7735/36</f>
        <v>214.86111111111111</v>
      </c>
      <c r="D237" s="4">
        <f t="shared" si="28"/>
        <v>0.14920910493827161</v>
      </c>
      <c r="E237" s="5">
        <f>4885/36</f>
        <v>135.69444444444446</v>
      </c>
      <c r="F237" s="5">
        <f>1295/36</f>
        <v>35.972222222222221</v>
      </c>
      <c r="G237" s="5">
        <f>4885/(7735/60)</f>
        <v>37.892695539754364</v>
      </c>
      <c r="H237" s="5">
        <f>182/36</f>
        <v>5.0555555555555554</v>
      </c>
    </row>
    <row r="238" spans="1:8" x14ac:dyDescent="0.15">
      <c r="A238" s="1">
        <v>46019</v>
      </c>
      <c r="B238" t="s">
        <v>2</v>
      </c>
      <c r="C238" s="5">
        <f>18010/126</f>
        <v>142.93650793650792</v>
      </c>
      <c r="D238" s="4">
        <f>C238/1440</f>
        <v>9.9261463844797171E-2</v>
      </c>
      <c r="E238" s="5">
        <f>9449/126</f>
        <v>74.992063492063494</v>
      </c>
      <c r="F238" s="5">
        <f>3011/126</f>
        <v>23.896825396825395</v>
      </c>
      <c r="G238" s="5">
        <f>9449/(18010/60)</f>
        <v>31.479178234314269</v>
      </c>
      <c r="H238" s="5">
        <f>386/126</f>
        <v>3.0634920634920637</v>
      </c>
    </row>
    <row r="239" spans="1:8" x14ac:dyDescent="0.15">
      <c r="A239" s="1">
        <v>46019</v>
      </c>
      <c r="B239" t="s">
        <v>3</v>
      </c>
      <c r="C239" s="5">
        <f>8078/36</f>
        <v>224.38888888888889</v>
      </c>
      <c r="D239" s="4">
        <f>C239/1440</f>
        <v>0.15582561728395061</v>
      </c>
      <c r="E239" s="5">
        <f>5423/36</f>
        <v>150.63888888888889</v>
      </c>
      <c r="F239" s="5">
        <f>1472/36</f>
        <v>40.888888888888886</v>
      </c>
      <c r="G239" s="5">
        <f>5423/(8078/60)</f>
        <v>40.279772220846745</v>
      </c>
      <c r="H239" s="5">
        <f>182/36</f>
        <v>5.0555555555555554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2025-12-29T00:34:13Z</dcterms:modified>
</cp:coreProperties>
</file>