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33" i="1" l="1"/>
  <c r="G233" i="1"/>
  <c r="F233" i="1"/>
  <c r="E233" i="1"/>
  <c r="D233" i="1"/>
  <c r="C233" i="1"/>
  <c r="H232" i="1"/>
  <c r="G232" i="1"/>
  <c r="F232" i="1"/>
  <c r="E232" i="1"/>
  <c r="D232" i="1"/>
  <c r="C232" i="1"/>
  <c r="H231" i="1" l="1"/>
  <c r="G231" i="1"/>
  <c r="F231" i="1"/>
  <c r="E231" i="1"/>
  <c r="D231" i="1"/>
  <c r="C231" i="1"/>
  <c r="H230" i="1"/>
  <c r="G230" i="1"/>
  <c r="F230" i="1"/>
  <c r="E230" i="1"/>
  <c r="D230" i="1"/>
  <c r="C230" i="1"/>
  <c r="H229" i="1" l="1"/>
  <c r="G229" i="1"/>
  <c r="F229" i="1"/>
  <c r="E229" i="1"/>
  <c r="D229" i="1"/>
  <c r="C229" i="1"/>
  <c r="H228" i="1"/>
  <c r="G228" i="1"/>
  <c r="F228" i="1"/>
  <c r="E228" i="1"/>
  <c r="D228" i="1"/>
  <c r="C228" i="1"/>
  <c r="H227" i="1" l="1"/>
  <c r="G227" i="1"/>
  <c r="F227" i="1"/>
  <c r="E227" i="1"/>
  <c r="D227" i="1"/>
  <c r="C227" i="1"/>
  <c r="H226" i="1"/>
  <c r="G226" i="1"/>
  <c r="F226" i="1"/>
  <c r="E226" i="1"/>
  <c r="D226" i="1"/>
  <c r="C226" i="1"/>
  <c r="H224" i="1" l="1"/>
  <c r="G224" i="1"/>
  <c r="F224" i="1"/>
  <c r="E224" i="1"/>
  <c r="D224" i="1"/>
  <c r="C224" i="1"/>
  <c r="H225" i="1"/>
  <c r="G225" i="1"/>
  <c r="F225" i="1"/>
  <c r="E225" i="1"/>
  <c r="D225" i="1"/>
  <c r="C225" i="1"/>
  <c r="H223" i="1"/>
  <c r="G223" i="1"/>
  <c r="F223" i="1"/>
  <c r="E223" i="1"/>
  <c r="D223" i="1"/>
  <c r="C223" i="1"/>
  <c r="H222" i="1"/>
  <c r="G222" i="1"/>
  <c r="F222" i="1"/>
  <c r="E222" i="1"/>
  <c r="D222" i="1"/>
  <c r="C222" i="1"/>
  <c r="H221" i="1" l="1"/>
  <c r="G221" i="1"/>
  <c r="F221" i="1"/>
  <c r="E221" i="1"/>
  <c r="D221" i="1"/>
  <c r="C221" i="1"/>
  <c r="H220" i="1" l="1"/>
  <c r="G220" i="1"/>
  <c r="F220" i="1"/>
  <c r="E220" i="1"/>
  <c r="D220" i="1"/>
  <c r="C220" i="1"/>
  <c r="H219" i="1" l="1"/>
  <c r="G219" i="1"/>
  <c r="F219" i="1"/>
  <c r="E219" i="1"/>
  <c r="D219" i="1"/>
  <c r="C219" i="1"/>
  <c r="H218" i="1"/>
  <c r="G218" i="1"/>
  <c r="F218" i="1"/>
  <c r="E218" i="1"/>
  <c r="D218" i="1"/>
  <c r="C218" i="1"/>
  <c r="H216" i="1"/>
  <c r="G216" i="1"/>
  <c r="F216" i="1"/>
  <c r="E216" i="1"/>
  <c r="D216" i="1"/>
  <c r="C216" i="1"/>
  <c r="H217" i="1"/>
  <c r="G217" i="1"/>
  <c r="F217" i="1"/>
  <c r="E217" i="1"/>
  <c r="D217" i="1"/>
  <c r="C217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 l="1"/>
  <c r="G213" i="1"/>
  <c r="F213" i="1"/>
  <c r="E213" i="1"/>
  <c r="D213" i="1"/>
  <c r="C213" i="1"/>
  <c r="H212" i="1"/>
  <c r="G212" i="1"/>
  <c r="F212" i="1"/>
  <c r="E212" i="1"/>
  <c r="D212" i="1"/>
  <c r="C212" i="1"/>
  <c r="H211" i="1" l="1"/>
  <c r="G211" i="1"/>
  <c r="F211" i="1"/>
  <c r="E211" i="1"/>
  <c r="D211" i="1"/>
  <c r="C211" i="1"/>
  <c r="H210" i="1"/>
  <c r="G210" i="1"/>
  <c r="F210" i="1"/>
  <c r="E210" i="1"/>
  <c r="D210" i="1"/>
  <c r="C210" i="1"/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<sst xmlns="http://schemas.openxmlformats.org/spreadsheetml/2006/main" count="263" uniqueCount="28">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</sst>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33"/>
  <sheetViews>
    <sheetView tabSelected="1" topLeftCell="A226" workbookViewId="0">
      <selection activeCell="I234" sqref="I234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 t="shared" ref="D206:D211" si="24"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 t="shared" si="24"/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 t="shared" si="24"/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 t="shared" si="24"/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 t="shared" si="24"/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 t="shared" si="24"/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  <row r="212" spans="1:8" x14ac:dyDescent="0.15">
      <c r="A212" s="1">
        <v>46006</v>
      </c>
      <c r="B212" t="s">
        <v>2</v>
      </c>
      <c r="C212" s="5">
        <f>18016/126</f>
        <v>142.98412698412699</v>
      </c>
      <c r="D212" s="4">
        <f t="shared" ref="D212:D219" si="25">C212/1440</f>
        <v>9.9294532627865958E-2</v>
      </c>
      <c r="E212" s="5">
        <f>8859.8/126</f>
        <v>70.315873015873009</v>
      </c>
      <c r="F212" s="5">
        <f>2939.86/126</f>
        <v>23.332222222222224</v>
      </c>
      <c r="G212" s="5">
        <f>8859.8/(18016/60)</f>
        <v>29.506438721136767</v>
      </c>
      <c r="H212" s="5">
        <f>388/126</f>
        <v>3.0793650793650795</v>
      </c>
    </row>
    <row r="213" spans="1:8" x14ac:dyDescent="0.15">
      <c r="A213" s="1">
        <v>46006</v>
      </c>
      <c r="B213" t="s">
        <v>3</v>
      </c>
      <c r="C213" s="5">
        <f>8779/36</f>
        <v>243.86111111111111</v>
      </c>
      <c r="D213" s="4">
        <f t="shared" si="25"/>
        <v>0.16934799382716051</v>
      </c>
      <c r="E213" s="5">
        <f>5669.34/36</f>
        <v>157.48166666666668</v>
      </c>
      <c r="F213" s="5">
        <f>1538.96/36</f>
        <v>42.748888888888892</v>
      </c>
      <c r="G213" s="5">
        <f>5669.34/(8779/60)</f>
        <v>38.747055473288533</v>
      </c>
      <c r="H213" s="5">
        <f>209/36</f>
        <v>5.8055555555555554</v>
      </c>
    </row>
    <row r="214" spans="1:8" x14ac:dyDescent="0.15">
      <c r="A214" s="1">
        <v>46007</v>
      </c>
      <c r="B214" t="s">
        <v>2</v>
      </c>
      <c r="C214" s="5">
        <f>15455/126</f>
        <v>122.65873015873017</v>
      </c>
      <c r="D214" s="4">
        <f t="shared" si="25"/>
        <v>8.5179673721340388E-2</v>
      </c>
      <c r="E214" s="5">
        <f>7975.08/126</f>
        <v>63.294285714285714</v>
      </c>
      <c r="F214" s="5">
        <f>2617.95/126</f>
        <v>20.777380952380952</v>
      </c>
      <c r="G214" s="5">
        <f>7975.08/(15455/60)</f>
        <v>30.961164671627309</v>
      </c>
      <c r="H214" s="5">
        <f>345/126</f>
        <v>2.7380952380952381</v>
      </c>
    </row>
    <row r="215" spans="1:8" x14ac:dyDescent="0.15">
      <c r="A215" s="1">
        <v>46007</v>
      </c>
      <c r="B215" t="s">
        <v>3</v>
      </c>
      <c r="C215" s="5">
        <f>6397/36</f>
        <v>177.69444444444446</v>
      </c>
      <c r="D215" s="4">
        <f t="shared" si="25"/>
        <v>0.12339891975308642</v>
      </c>
      <c r="E215" s="5">
        <f>4366.49/36</f>
        <v>121.29138888888889</v>
      </c>
      <c r="F215" s="5">
        <f>1160.77/36</f>
        <v>32.243611111111107</v>
      </c>
      <c r="G215" s="5">
        <f>4366.49/(6397/60)</f>
        <v>40.955041425668284</v>
      </c>
      <c r="H215" s="5">
        <f>164/36</f>
        <v>4.5555555555555554</v>
      </c>
    </row>
    <row r="216" spans="1:8" x14ac:dyDescent="0.15">
      <c r="A216" s="1">
        <v>46008</v>
      </c>
      <c r="B216" t="s">
        <v>2</v>
      </c>
      <c r="C216" s="5">
        <f>16475/126</f>
        <v>130.75396825396825</v>
      </c>
      <c r="D216" s="4">
        <f t="shared" si="25"/>
        <v>9.0801366843033512E-2</v>
      </c>
      <c r="E216" s="5">
        <f>7802.58/126</f>
        <v>61.925238095238093</v>
      </c>
      <c r="F216" s="5">
        <f>2592.82/126</f>
        <v>20.57793650793651</v>
      </c>
      <c r="G216" s="5">
        <f>7802/(15475/60)</f>
        <v>30.250080775444264</v>
      </c>
      <c r="H216" s="5">
        <f>349/126</f>
        <v>2.7698412698412698</v>
      </c>
    </row>
    <row r="217" spans="1:8" x14ac:dyDescent="0.15">
      <c r="A217" s="1">
        <v>46008</v>
      </c>
      <c r="B217" t="s">
        <v>3</v>
      </c>
      <c r="C217" s="5">
        <f>7017/36</f>
        <v>194.91666666666666</v>
      </c>
      <c r="D217" s="4">
        <f t="shared" si="25"/>
        <v>0.1353587962962963</v>
      </c>
      <c r="E217" s="5">
        <f>4438.31/36</f>
        <v>123.28638888888889</v>
      </c>
      <c r="F217" s="5">
        <f>1209.84/36</f>
        <v>33.606666666666662</v>
      </c>
      <c r="G217" s="5">
        <f>4436.31/(7017/60)</f>
        <v>37.933390337751177</v>
      </c>
      <c r="H217" s="5">
        <f>169/36</f>
        <v>4.6944444444444446</v>
      </c>
    </row>
    <row r="218" spans="1:8" x14ac:dyDescent="0.15">
      <c r="A218" s="1">
        <v>46009</v>
      </c>
      <c r="B218" t="s">
        <v>2</v>
      </c>
      <c r="C218" s="5">
        <f>16700/126</f>
        <v>132.53968253968253</v>
      </c>
      <c r="D218" s="4">
        <f t="shared" si="25"/>
        <v>9.2041446208112873E-2</v>
      </c>
      <c r="E218" s="5">
        <f>8362.59/126</f>
        <v>66.369761904761901</v>
      </c>
      <c r="F218" s="5">
        <f>2767.43/126</f>
        <v>21.963730158730158</v>
      </c>
      <c r="G218" s="5">
        <f>8362.59/(16700/60)</f>
        <v>30.045233532934134</v>
      </c>
      <c r="H218" s="5">
        <f>374/126</f>
        <v>2.9682539682539684</v>
      </c>
    </row>
    <row r="219" spans="1:8" x14ac:dyDescent="0.15">
      <c r="A219" s="1">
        <v>46009</v>
      </c>
      <c r="B219" t="s">
        <v>3</v>
      </c>
      <c r="C219" s="5">
        <f>6960/36</f>
        <v>193.33333333333334</v>
      </c>
      <c r="D219" s="4">
        <f t="shared" si="25"/>
        <v>0.13425925925925927</v>
      </c>
      <c r="E219" s="5">
        <f>4338.56/36</f>
        <v>120.51555555555557</v>
      </c>
      <c r="F219" s="5">
        <f>1117.58/36</f>
        <v>31.043888888888887</v>
      </c>
      <c r="G219" s="5">
        <f>4338.56/(6960/60)</f>
        <v>37.401379310344829</v>
      </c>
      <c r="H219" s="5">
        <f>174/36</f>
        <v>4.833333333333333</v>
      </c>
    </row>
    <row r="220" spans="1:8" x14ac:dyDescent="0.15">
      <c r="A220" s="1">
        <v>46010</v>
      </c>
      <c r="B220" t="s">
        <v>2</v>
      </c>
      <c r="C220" s="5">
        <f>16308/126</f>
        <v>129.42857142857142</v>
      </c>
      <c r="D220" s="4">
        <f t="shared" ref="D220:D225" si="26">C220/1440</f>
        <v>8.9880952380952367E-2</v>
      </c>
      <c r="E220" s="5">
        <f>8259.1/126</f>
        <v>65.548412698412704</v>
      </c>
      <c r="F220" s="5">
        <f>2699.54/126</f>
        <v>21.424920634920635</v>
      </c>
      <c r="G220" s="5">
        <f>8259.1/(16308/60)</f>
        <v>30.386681383370124</v>
      </c>
      <c r="H220" s="5">
        <f>378/126</f>
        <v>3</v>
      </c>
    </row>
    <row r="221" spans="1:8" x14ac:dyDescent="0.15">
      <c r="A221" s="1">
        <v>46010</v>
      </c>
      <c r="B221" t="s">
        <v>3</v>
      </c>
      <c r="C221" s="5">
        <f>7424/36</f>
        <v>206.22222222222223</v>
      </c>
      <c r="D221" s="4">
        <f t="shared" si="26"/>
        <v>0.14320987654320988</v>
      </c>
      <c r="E221" s="5">
        <f>4913.54/36</f>
        <v>136.48722222222221</v>
      </c>
      <c r="F221" s="5">
        <f>1301.66/36</f>
        <v>36.157222222222224</v>
      </c>
      <c r="G221" s="5">
        <f>4913.54/(7424/60)</f>
        <v>39.710721982758621</v>
      </c>
      <c r="H221" s="5">
        <f>173/36</f>
        <v>4.8055555555555554</v>
      </c>
    </row>
    <row r="222" spans="1:8" x14ac:dyDescent="0.15">
      <c r="A222" s="1">
        <v>46011</v>
      </c>
      <c r="B222" t="s">
        <v>2</v>
      </c>
      <c r="C222" s="5">
        <f>15208/126</f>
        <v>120.6984126984127</v>
      </c>
      <c r="D222" s="4">
        <f t="shared" si="26"/>
        <v>8.3818342151675482E-2</v>
      </c>
      <c r="E222" s="5">
        <f>7786/126</f>
        <v>61.793650793650791</v>
      </c>
      <c r="F222" s="5">
        <f>2513/126</f>
        <v>19.944444444444443</v>
      </c>
      <c r="G222" s="5">
        <f>7786/(15208/60)</f>
        <v>30.718043135192005</v>
      </c>
      <c r="H222" s="5">
        <f>352/126</f>
        <v>2.7936507936507935</v>
      </c>
    </row>
    <row r="223" spans="1:8" x14ac:dyDescent="0.15">
      <c r="A223" s="1">
        <v>46011</v>
      </c>
      <c r="B223" t="s">
        <v>3</v>
      </c>
      <c r="C223" s="5">
        <f>6500/36</f>
        <v>180.55555555555554</v>
      </c>
      <c r="D223" s="4">
        <f t="shared" si="26"/>
        <v>0.1253858024691358</v>
      </c>
      <c r="E223" s="5">
        <f>4371/36</f>
        <v>121.41666666666667</v>
      </c>
      <c r="F223" s="5">
        <f>1163/36</f>
        <v>32.305555555555557</v>
      </c>
      <c r="G223" s="5">
        <f>4371/(6500/60)</f>
        <v>40.347692307692313</v>
      </c>
      <c r="H223" s="5">
        <f>156/36</f>
        <v>4.333333333333333</v>
      </c>
    </row>
    <row r="224" spans="1:8" x14ac:dyDescent="0.15">
      <c r="A224" s="1">
        <v>46012</v>
      </c>
      <c r="B224" t="s">
        <v>2</v>
      </c>
      <c r="C224" s="5">
        <f>17585/126</f>
        <v>139.56349206349208</v>
      </c>
      <c r="D224" s="4">
        <f t="shared" si="26"/>
        <v>9.6919091710758382E-2</v>
      </c>
      <c r="E224" s="5">
        <f>9150/126</f>
        <v>72.61904761904762</v>
      </c>
      <c r="F224" s="5">
        <f>2926/126</f>
        <v>23.222222222222221</v>
      </c>
      <c r="G224" s="5">
        <f>9150/(17585/60)</f>
        <v>31.219789593403473</v>
      </c>
      <c r="H224" s="5">
        <f>385/126</f>
        <v>3.0555555555555554</v>
      </c>
    </row>
    <row r="225" spans="1:8" x14ac:dyDescent="0.15">
      <c r="A225" s="1">
        <v>46012</v>
      </c>
      <c r="B225" t="s">
        <v>3</v>
      </c>
      <c r="C225" s="5">
        <f>6654/36</f>
        <v>184.83333333333334</v>
      </c>
      <c r="D225" s="4">
        <f t="shared" si="26"/>
        <v>0.12835648148148149</v>
      </c>
      <c r="E225" s="5">
        <f>4651/36</f>
        <v>129.19444444444446</v>
      </c>
      <c r="F225" s="5">
        <f>1228/36</f>
        <v>34.111111111111114</v>
      </c>
      <c r="G225" s="5">
        <f>4651/(6654/60)</f>
        <v>41.938683498647428</v>
      </c>
      <c r="H225" s="5">
        <f>157/36</f>
        <v>4.3611111111111107</v>
      </c>
    </row>
    <row r="226" spans="1:8" x14ac:dyDescent="0.15">
      <c r="A226" s="1">
        <v>46013</v>
      </c>
      <c r="B226" t="s">
        <v>2</v>
      </c>
      <c r="C226" s="5">
        <f>17750/126</f>
        <v>140.87301587301587</v>
      </c>
      <c r="D226" s="4">
        <f t="shared" ref="D226:D231" si="27">C226/1440</f>
        <v>9.7828483245149908E-2</v>
      </c>
      <c r="E226" s="5">
        <f>8898/126</f>
        <v>70.61904761904762</v>
      </c>
      <c r="F226" s="5">
        <f>2872/126</f>
        <v>22.793650793650794</v>
      </c>
      <c r="G226" s="5">
        <f>8898/(17750/60)</f>
        <v>30.077746478873241</v>
      </c>
      <c r="H226" s="5">
        <f>286/126</f>
        <v>2.2698412698412698</v>
      </c>
    </row>
    <row r="227" spans="1:8" x14ac:dyDescent="0.15">
      <c r="A227" s="1">
        <v>46013</v>
      </c>
      <c r="B227" t="s">
        <v>3</v>
      </c>
      <c r="C227" s="5">
        <f>8384/36</f>
        <v>232.88888888888889</v>
      </c>
      <c r="D227" s="4">
        <f t="shared" si="27"/>
        <v>0.1617283950617284</v>
      </c>
      <c r="E227" s="5">
        <f>5621/36</f>
        <v>156.13888888888889</v>
      </c>
      <c r="F227" s="5">
        <f>1378/36</f>
        <v>38.277777777777779</v>
      </c>
      <c r="G227" s="5">
        <f>5621/(8384/60)</f>
        <v>40.226622137404583</v>
      </c>
      <c r="H227" s="5">
        <f>207/36</f>
        <v>5.75</v>
      </c>
    </row>
    <row r="228" spans="1:8" x14ac:dyDescent="0.15">
      <c r="A228" s="1">
        <v>46014</v>
      </c>
      <c r="B228" t="s">
        <v>2</v>
      </c>
      <c r="C228" s="5">
        <f>17266/126</f>
        <v>137.03174603174602</v>
      </c>
      <c r="D228" s="4">
        <f t="shared" si="27"/>
        <v>9.5160934744268066E-2</v>
      </c>
      <c r="E228" s="5">
        <f>8753/126</f>
        <v>69.468253968253961</v>
      </c>
      <c r="F228" s="5">
        <f>2895/126</f>
        <v>22.976190476190474</v>
      </c>
      <c r="G228" s="5">
        <f>8753/(17266/60)</f>
        <v>30.417004517548943</v>
      </c>
      <c r="H228" s="5">
        <f>374/126</f>
        <v>2.9682539682539684</v>
      </c>
    </row>
    <row r="229" spans="1:8" x14ac:dyDescent="0.15">
      <c r="A229" s="1">
        <v>46014</v>
      </c>
      <c r="B229" t="s">
        <v>3</v>
      </c>
      <c r="C229" s="5">
        <f>7996/36</f>
        <v>222.11111111111111</v>
      </c>
      <c r="D229" s="4">
        <f t="shared" si="27"/>
        <v>0.15424382716049384</v>
      </c>
      <c r="E229" s="5">
        <f>5074.23/36</f>
        <v>140.95083333333332</v>
      </c>
      <c r="F229" s="5">
        <f>1289/36</f>
        <v>35.805555555555557</v>
      </c>
      <c r="G229" s="5">
        <f>5074/(7996/60)</f>
        <v>38.074037018509252</v>
      </c>
      <c r="H229" s="5">
        <f>183/36</f>
        <v>5.083333333333333</v>
      </c>
    </row>
    <row r="230" spans="1:8" x14ac:dyDescent="0.15">
      <c r="A230" s="1">
        <v>46015</v>
      </c>
      <c r="B230" t="s">
        <v>2</v>
      </c>
      <c r="C230" s="5">
        <f>21692/126</f>
        <v>172.15873015873015</v>
      </c>
      <c r="D230" s="4">
        <f t="shared" si="27"/>
        <v>0.11955467372134038</v>
      </c>
      <c r="E230" s="5">
        <f>10754/126</f>
        <v>85.349206349206355</v>
      </c>
      <c r="F230" s="5">
        <f>3508/126</f>
        <v>27.841269841269842</v>
      </c>
      <c r="G230" s="5">
        <f>10754/(21692/60)</f>
        <v>29.745528305366033</v>
      </c>
      <c r="H230" s="5">
        <f>439/126</f>
        <v>3.4841269841269842</v>
      </c>
    </row>
    <row r="231" spans="1:8" x14ac:dyDescent="0.15">
      <c r="A231" s="1">
        <v>46015</v>
      </c>
      <c r="B231" t="s">
        <v>3</v>
      </c>
      <c r="C231" s="5">
        <f>8421/36</f>
        <v>233.91666666666666</v>
      </c>
      <c r="D231" s="4">
        <f t="shared" si="27"/>
        <v>0.16244212962962962</v>
      </c>
      <c r="E231" s="5">
        <f>5147/36</f>
        <v>142.97222222222223</v>
      </c>
      <c r="F231" s="5">
        <f>1375/36</f>
        <v>38.194444444444443</v>
      </c>
      <c r="G231" s="5">
        <f>5147/(8421/60)</f>
        <v>36.672604203776274</v>
      </c>
      <c r="H231" s="5">
        <f>182/36</f>
        <v>5.0555555555555554</v>
      </c>
    </row>
    <row r="232" spans="1:8" x14ac:dyDescent="0.15">
      <c r="A232" s="1">
        <v>46016</v>
      </c>
      <c r="B232" t="s">
        <v>2</v>
      </c>
      <c r="C232" s="5">
        <f>21598/126</f>
        <v>171.4126984126984</v>
      </c>
      <c r="D232" s="4">
        <f>C232/1440</f>
        <v>0.11903659611992945</v>
      </c>
      <c r="E232" s="5">
        <f>10431/126</f>
        <v>82.785714285714292</v>
      </c>
      <c r="F232" s="5">
        <f>3547/126</f>
        <v>28.150793650793652</v>
      </c>
      <c r="G232" s="5">
        <f>10431/(21598/60)</f>
        <v>28.977683118807299</v>
      </c>
      <c r="H232" s="5">
        <f>438/126</f>
        <v>3.4761904761904763</v>
      </c>
    </row>
    <row r="233" spans="1:8" x14ac:dyDescent="0.15">
      <c r="A233" s="1">
        <v>46016</v>
      </c>
      <c r="B233" t="s">
        <v>3</v>
      </c>
      <c r="C233" s="5">
        <f>9941/36</f>
        <v>276.13888888888891</v>
      </c>
      <c r="D233" s="4">
        <f>C233/1440</f>
        <v>0.19176311728395062</v>
      </c>
      <c r="E233" s="5">
        <f>6540/36</f>
        <v>181.66666666666666</v>
      </c>
      <c r="F233" s="5">
        <f>1724/36</f>
        <v>47.888888888888886</v>
      </c>
      <c r="G233" s="5">
        <f>6540/(9941/60)</f>
        <v>39.472890051302684</v>
      </c>
      <c r="H233" s="5">
        <f>222/36</f>
        <v>6.166666666666667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2025-12-26T01:19:30Z</dcterms:modified>
</cp:coreProperties>
</file>