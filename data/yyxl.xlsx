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41" i="1" l="1"/>
  <c r="G241" i="1"/>
  <c r="F241" i="1"/>
  <c r="E241" i="1"/>
  <c r="D241" i="1"/>
  <c r="C241" i="1"/>
  <c r="H240" i="1"/>
  <c r="G240" i="1"/>
  <c r="F240" i="1"/>
  <c r="E240" i="1"/>
  <c r="D240" i="1"/>
  <c r="C240" i="1"/>
  <c r="H239" i="1" l="1"/>
  <c r="G239" i="1"/>
  <c r="F239" i="1"/>
  <c r="E239" i="1"/>
  <c r="D239" i="1"/>
  <c r="C239" i="1"/>
  <c r="H238" i="1"/>
  <c r="G238" i="1"/>
  <c r="F238" i="1"/>
  <c r="E238" i="1"/>
  <c r="D238" i="1"/>
  <c r="C238" i="1"/>
  <c r="H237" i="1" l="1"/>
  <c r="G237" i="1"/>
  <c r="F237" i="1"/>
  <c r="E237" i="1"/>
  <c r="D237" i="1"/>
  <c r="C237" i="1"/>
  <c r="H236" i="1"/>
  <c r="G236" i="1"/>
  <c r="F236" i="1"/>
  <c r="E236" i="1"/>
  <c r="D236" i="1"/>
  <c r="C236" i="1"/>
  <c r="H235" i="1" l="1"/>
  <c r="G235" i="1"/>
  <c r="F235" i="1"/>
  <c r="E235" i="1"/>
  <c r="D235" i="1"/>
  <c r="C235" i="1"/>
  <c r="H234" i="1"/>
  <c r="G234" i="1"/>
  <c r="F234" i="1"/>
  <c r="E234" i="1"/>
  <c r="D234" i="1"/>
  <c r="C234" i="1"/>
  <c r="H233" i="1" l="1"/>
  <c r="G233" i="1"/>
  <c r="F233" i="1"/>
  <c r="E233" i="1"/>
  <c r="D233" i="1"/>
  <c r="C233" i="1"/>
  <c r="H232" i="1"/>
  <c r="G232" i="1"/>
  <c r="F232" i="1"/>
  <c r="E232" i="1"/>
  <c r="D232" i="1"/>
  <c r="C232" i="1"/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<sst xmlns="http://schemas.openxmlformats.org/spreadsheetml/2006/main" count="271" uniqueCount="28">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</sst>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41"/>
  <sheetViews>
    <sheetView tabSelected="1" topLeftCell="A232" workbookViewId="0">
      <selection activeCell="K240" sqref="K240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 t="shared" ref="D232:D237" si="28"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 t="shared" si="28"/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  <row r="234" spans="1:8" x14ac:dyDescent="0.15">
      <c r="A234" s="1">
        <v>46017</v>
      </c>
      <c r="B234" t="s">
        <v>2</v>
      </c>
      <c r="C234" s="5">
        <f>21253/126</f>
        <v>168.67460317460316</v>
      </c>
      <c r="D234" s="4">
        <f t="shared" si="28"/>
        <v>0.11713514109347442</v>
      </c>
      <c r="E234" s="5">
        <f>10476/126</f>
        <v>83.142857142857139</v>
      </c>
      <c r="F234" s="5">
        <f>3453/126</f>
        <v>27.404761904761905</v>
      </c>
      <c r="G234" s="5">
        <f>10476/(21253/60)</f>
        <v>29.575118806756695</v>
      </c>
      <c r="H234" s="5">
        <f>423/126</f>
        <v>3.3571428571428572</v>
      </c>
    </row>
    <row r="235" spans="1:8" x14ac:dyDescent="0.15">
      <c r="A235" s="1">
        <v>46017</v>
      </c>
      <c r="B235" t="s">
        <v>3</v>
      </c>
      <c r="C235" s="5">
        <f>8990/36</f>
        <v>249.72222222222223</v>
      </c>
      <c r="D235" s="4">
        <f t="shared" si="28"/>
        <v>0.17341820987654322</v>
      </c>
      <c r="E235" s="5">
        <f>6068/36</f>
        <v>168.55555555555554</v>
      </c>
      <c r="F235" s="5">
        <f>1619/36</f>
        <v>44.972222222222221</v>
      </c>
      <c r="G235" s="5">
        <f>6068/(8990/60)</f>
        <v>40.49833147942158</v>
      </c>
      <c r="H235" s="5">
        <f>203/36</f>
        <v>5.6388888888888893</v>
      </c>
    </row>
    <row r="236" spans="1:8" x14ac:dyDescent="0.15">
      <c r="A236" s="1">
        <v>46018</v>
      </c>
      <c r="B236" t="s">
        <v>2</v>
      </c>
      <c r="C236" s="5">
        <f>18541/126</f>
        <v>147.15079365079364</v>
      </c>
      <c r="D236" s="4">
        <f t="shared" si="28"/>
        <v>0.10218805114638448</v>
      </c>
      <c r="E236" s="5">
        <f>9217/126</f>
        <v>73.150793650793645</v>
      </c>
      <c r="F236" s="5">
        <f>3062/126</f>
        <v>24.301587301587301</v>
      </c>
      <c r="G236" s="5">
        <f>9217/(18541/60)</f>
        <v>29.826870179601965</v>
      </c>
      <c r="H236" s="5">
        <f>377/126</f>
        <v>2.9920634920634921</v>
      </c>
    </row>
    <row r="237" spans="1:8" x14ac:dyDescent="0.15">
      <c r="A237" s="1">
        <v>46018</v>
      </c>
      <c r="B237" t="s">
        <v>3</v>
      </c>
      <c r="C237" s="5">
        <f>7735/36</f>
        <v>214.86111111111111</v>
      </c>
      <c r="D237" s="4">
        <f t="shared" si="28"/>
        <v>0.14920910493827161</v>
      </c>
      <c r="E237" s="5">
        <f>4885/36</f>
        <v>135.69444444444446</v>
      </c>
      <c r="F237" s="5">
        <f>1295/36</f>
        <v>35.972222222222221</v>
      </c>
      <c r="G237" s="5">
        <f>4885/(7735/60)</f>
        <v>37.892695539754364</v>
      </c>
      <c r="H237" s="5">
        <f>182/36</f>
        <v>5.0555555555555554</v>
      </c>
    </row>
    <row r="238" spans="1:8" x14ac:dyDescent="0.15">
      <c r="A238" s="1">
        <v>46019</v>
      </c>
      <c r="B238" t="s">
        <v>2</v>
      </c>
      <c r="C238" s="5">
        <f>18010/126</f>
        <v>142.93650793650792</v>
      </c>
      <c r="D238" s="4">
        <f>C238/1440</f>
        <v>9.9261463844797171E-2</v>
      </c>
      <c r="E238" s="5">
        <f>9449/126</f>
        <v>74.992063492063494</v>
      </c>
      <c r="F238" s="5">
        <f>3011/126</f>
        <v>23.896825396825395</v>
      </c>
      <c r="G238" s="5">
        <f>9449/(18010/60)</f>
        <v>31.479178234314269</v>
      </c>
      <c r="H238" s="5">
        <f>386/126</f>
        <v>3.0634920634920637</v>
      </c>
    </row>
    <row r="239" spans="1:8" x14ac:dyDescent="0.15">
      <c r="A239" s="1">
        <v>46019</v>
      </c>
      <c r="B239" t="s">
        <v>3</v>
      </c>
      <c r="C239" s="5">
        <f>8078/36</f>
        <v>224.38888888888889</v>
      </c>
      <c r="D239" s="4">
        <f>C239/1440</f>
        <v>0.15582561728395061</v>
      </c>
      <c r="E239" s="5">
        <f>5423/36</f>
        <v>150.63888888888889</v>
      </c>
      <c r="F239" s="5">
        <f>1472/36</f>
        <v>40.888888888888886</v>
      </c>
      <c r="G239" s="5">
        <f>5423/(8078/60)</f>
        <v>40.279772220846745</v>
      </c>
      <c r="H239" s="5">
        <f>182/36</f>
        <v>5.0555555555555554</v>
      </c>
    </row>
    <row r="240" spans="1:8" x14ac:dyDescent="0.15">
      <c r="A240" s="1">
        <v>46020</v>
      </c>
      <c r="B240" t="s">
        <v>2</v>
      </c>
      <c r="C240" s="5">
        <f>18300/126</f>
        <v>145.23809523809524</v>
      </c>
      <c r="D240" s="4">
        <f>C240/1440</f>
        <v>0.10085978835978836</v>
      </c>
      <c r="E240" s="5">
        <f>9427/126</f>
        <v>74.817460317460316</v>
      </c>
      <c r="F240" s="5">
        <f>3148/126</f>
        <v>24.984126984126984</v>
      </c>
      <c r="G240" s="5">
        <f>9427/(18300/60)</f>
        <v>30.908196721311477</v>
      </c>
      <c r="H240" s="5">
        <f>390/126</f>
        <v>3.0952380952380953</v>
      </c>
    </row>
    <row r="241" spans="1:8" x14ac:dyDescent="0.15">
      <c r="A241" s="1">
        <v>46020</v>
      </c>
      <c r="B241" t="s">
        <v>3</v>
      </c>
      <c r="C241" s="5">
        <f>8501/36</f>
        <v>236.13888888888889</v>
      </c>
      <c r="D241" s="4">
        <f>C241/1440</f>
        <v>0.16398533950617283</v>
      </c>
      <c r="E241" s="5">
        <f>5636/36</f>
        <v>156.55555555555554</v>
      </c>
      <c r="F241" s="5">
        <f>1547/36</f>
        <v>42.972222222222221</v>
      </c>
      <c r="G241" s="5">
        <f>5636/(8501/60)</f>
        <v>39.778849547112102</v>
      </c>
      <c r="H241" s="5">
        <f>189/36</f>
        <v>5.25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2025-12-29T23:42:37Z</dcterms:modified>
</cp:coreProperties>
</file>