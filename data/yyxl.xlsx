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Sheet1!$A$1:$I$53</definedName>
  </definedNames>
  <calcPr calcId="152511"/>
</workbook>
</file>

<file path=xl/calcChain.xml><?xml version="1.0" encoding="utf-8"?>
<calcChain xmlns="http://schemas.openxmlformats.org/spreadsheetml/2006/main">
  <c r="G241" i="1" l="1"/>
  <c r="F241" i="1"/>
  <c r="E240" i="1"/>
  <c r="E241" i="1"/>
  <c r="C241" i="1"/>
  <c r="D241" i="1" s="1"/>
  <c r="H241" i="1"/>
  <c r="C240" i="1"/>
  <c r="D240" i="1" s="1"/>
  <c r="G240" i="1"/>
  <c r="F240" i="1"/>
  <c r="H240" i="1" l="1"/>
  <c r="H239" i="1" l="1"/>
  <c r="G239" i="1"/>
  <c r="F239" i="1"/>
  <c r="E239" i="1"/>
  <c r="C239" i="1"/>
  <c r="D239" i="1" s="1"/>
  <c r="H238" i="1"/>
  <c r="G238" i="1"/>
  <c r="F238" i="1"/>
  <c r="E238" i="1"/>
  <c r="C238" i="1"/>
  <c r="D238" i="1" s="1"/>
  <c r="H237" i="1" l="1"/>
  <c r="G237" i="1"/>
  <c r="F237" i="1"/>
  <c r="E237" i="1"/>
  <c r="C237" i="1"/>
  <c r="D237" i="1" s="1"/>
  <c r="H236" i="1"/>
  <c r="G236" i="1"/>
  <c r="F236" i="1"/>
  <c r="E236" i="1"/>
  <c r="C236" i="1"/>
  <c r="D236" i="1" s="1"/>
  <c r="H235" i="1" l="1"/>
  <c r="G235" i="1"/>
  <c r="F235" i="1"/>
  <c r="E235" i="1"/>
  <c r="C235" i="1"/>
  <c r="D235" i="1" s="1"/>
  <c r="H234" i="1"/>
  <c r="G234" i="1"/>
  <c r="F234" i="1"/>
  <c r="E234" i="1"/>
  <c r="C234" i="1"/>
  <c r="D234" i="1" s="1"/>
  <c r="H233" i="1" l="1"/>
  <c r="G233" i="1"/>
  <c r="F233" i="1"/>
  <c r="E233" i="1"/>
  <c r="D233" i="1"/>
  <c r="C233" i="1"/>
  <c r="H232" i="1"/>
  <c r="G232" i="1"/>
  <c r="F232" i="1"/>
  <c r="E232" i="1"/>
  <c r="C232" i="1"/>
  <c r="D232" i="1" s="1"/>
  <c r="H231" i="1" l="1"/>
  <c r="G231" i="1"/>
  <c r="F231" i="1"/>
  <c r="E231" i="1"/>
  <c r="D231" i="1"/>
  <c r="C231" i="1"/>
  <c r="H230" i="1"/>
  <c r="G230" i="1"/>
  <c r="F230" i="1"/>
  <c r="E230" i="1"/>
  <c r="C230" i="1"/>
  <c r="D230" i="1" s="1"/>
  <c r="H229" i="1" l="1"/>
  <c r="G229" i="1"/>
  <c r="F229" i="1"/>
  <c r="E229" i="1"/>
  <c r="D229" i="1"/>
  <c r="C229" i="1"/>
  <c r="H228" i="1"/>
  <c r="G228" i="1"/>
  <c r="F228" i="1"/>
  <c r="E228" i="1"/>
  <c r="C228" i="1"/>
  <c r="D228" i="1" s="1"/>
  <c r="H227" i="1" l="1"/>
  <c r="G227" i="1"/>
  <c r="F227" i="1"/>
  <c r="E227" i="1"/>
  <c r="D227" i="1"/>
  <c r="C227" i="1"/>
  <c r="H226" i="1"/>
  <c r="G226" i="1"/>
  <c r="F226" i="1"/>
  <c r="E226" i="1"/>
  <c r="C226" i="1"/>
  <c r="D226" i="1" s="1"/>
  <c r="H224" i="1" l="1"/>
  <c r="G224" i="1"/>
  <c r="F224" i="1"/>
  <c r="E224" i="1"/>
  <c r="D224" i="1"/>
  <c r="C224" i="1"/>
  <c r="H225" i="1"/>
  <c r="G225" i="1"/>
  <c r="F225" i="1"/>
  <c r="E225" i="1"/>
  <c r="C225" i="1"/>
  <c r="D225" i="1" s="1"/>
  <c r="H223" i="1"/>
  <c r="G223" i="1"/>
  <c r="F223" i="1"/>
  <c r="E223" i="1"/>
  <c r="D223" i="1"/>
  <c r="C223" i="1"/>
  <c r="H222" i="1"/>
  <c r="G222" i="1"/>
  <c r="F222" i="1"/>
  <c r="E222" i="1"/>
  <c r="C222" i="1"/>
  <c r="D222" i="1" s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C218" i="1"/>
  <c r="D218" i="1" s="1"/>
  <c r="H216" i="1"/>
  <c r="G216" i="1"/>
  <c r="F216" i="1"/>
  <c r="E216" i="1"/>
  <c r="D216" i="1"/>
  <c r="C216" i="1"/>
  <c r="H217" i="1"/>
  <c r="G217" i="1"/>
  <c r="F217" i="1"/>
  <c r="E217" i="1"/>
  <c r="C217" i="1"/>
  <c r="D217" i="1" s="1"/>
  <c r="H215" i="1"/>
  <c r="G215" i="1"/>
  <c r="F215" i="1"/>
  <c r="E215" i="1"/>
  <c r="D215" i="1"/>
  <c r="C215" i="1"/>
  <c r="H214" i="1"/>
  <c r="G214" i="1"/>
  <c r="F214" i="1"/>
  <c r="E214" i="1"/>
  <c r="C214" i="1"/>
  <c r="D214" i="1" s="1"/>
  <c r="H213" i="1" l="1"/>
  <c r="G213" i="1"/>
  <c r="F213" i="1"/>
  <c r="E213" i="1"/>
  <c r="C213" i="1"/>
  <c r="D213" i="1" s="1"/>
  <c r="H212" i="1"/>
  <c r="G212" i="1"/>
  <c r="F212" i="1"/>
  <c r="E212" i="1"/>
  <c r="D212" i="1"/>
  <c r="C212" i="1"/>
  <c r="H211" i="1" l="1"/>
  <c r="G211" i="1"/>
  <c r="F211" i="1"/>
  <c r="E211" i="1"/>
  <c r="C211" i="1"/>
  <c r="D211" i="1" s="1"/>
  <c r="H210" i="1"/>
  <c r="G210" i="1"/>
  <c r="F210" i="1"/>
  <c r="E210" i="1"/>
  <c r="D210" i="1"/>
  <c r="C210" i="1"/>
  <c r="G209" i="1" l="1"/>
  <c r="H209" i="1"/>
  <c r="F209" i="1"/>
  <c r="E209" i="1"/>
  <c r="C209" i="1"/>
  <c r="D209" i="1" s="1"/>
  <c r="C208" i="1"/>
  <c r="H208" i="1"/>
  <c r="G208" i="1"/>
  <c r="F208" i="1"/>
  <c r="E208" i="1"/>
  <c r="D208" i="1"/>
  <c r="H207" i="1" l="1"/>
  <c r="G207" i="1"/>
  <c r="F207" i="1"/>
  <c r="E207" i="1"/>
  <c r="C207" i="1"/>
  <c r="D207" i="1" s="1"/>
  <c r="H206" i="1"/>
  <c r="G206" i="1"/>
  <c r="F206" i="1"/>
  <c r="E206" i="1"/>
  <c r="D206" i="1"/>
  <c r="C206" i="1"/>
  <c r="H205" i="1" l="1"/>
  <c r="G205" i="1"/>
  <c r="F205" i="1"/>
  <c r="E205" i="1"/>
  <c r="C205" i="1"/>
  <c r="D205" i="1" s="1"/>
  <c r="H204" i="1"/>
  <c r="G204" i="1"/>
  <c r="F204" i="1"/>
  <c r="E204" i="1"/>
  <c r="D204" i="1"/>
  <c r="C204" i="1"/>
  <c r="H203" i="1" l="1"/>
  <c r="G203" i="1"/>
  <c r="F203" i="1"/>
  <c r="E203" i="1"/>
  <c r="C203" i="1"/>
  <c r="D203" i="1" s="1"/>
  <c r="H202" i="1"/>
  <c r="G202" i="1"/>
  <c r="F202" i="1"/>
  <c r="E202" i="1"/>
  <c r="C202" i="1"/>
  <c r="D202" i="1" s="1"/>
  <c r="H201" i="1" l="1"/>
  <c r="G201" i="1"/>
  <c r="F201" i="1"/>
  <c r="E201" i="1"/>
  <c r="C201" i="1"/>
  <c r="D201" i="1" s="1"/>
  <c r="H200" i="1"/>
  <c r="G200" i="1"/>
  <c r="F200" i="1"/>
  <c r="E200" i="1"/>
  <c r="D200" i="1"/>
  <c r="C200" i="1"/>
  <c r="H199" i="1" l="1"/>
  <c r="G199" i="1"/>
  <c r="F199" i="1"/>
  <c r="E199" i="1"/>
  <c r="C199" i="1"/>
  <c r="D199" i="1" s="1"/>
  <c r="H198" i="1"/>
  <c r="G198" i="1"/>
  <c r="F198" i="1"/>
  <c r="E198" i="1"/>
  <c r="D198" i="1"/>
  <c r="C198" i="1"/>
  <c r="H197" i="1" l="1"/>
  <c r="G197" i="1"/>
  <c r="F197" i="1"/>
  <c r="E197" i="1"/>
  <c r="C197" i="1"/>
  <c r="D197" i="1" s="1"/>
  <c r="H196" i="1"/>
  <c r="G196" i="1"/>
  <c r="F196" i="1"/>
  <c r="E196" i="1"/>
  <c r="C196" i="1"/>
  <c r="D196" i="1" s="1"/>
  <c r="H195" i="1" l="1"/>
  <c r="G195" i="1"/>
  <c r="F195" i="1"/>
  <c r="E195" i="1"/>
  <c r="C195" i="1"/>
  <c r="D195" i="1" s="1"/>
  <c r="H194" i="1"/>
  <c r="G194" i="1"/>
  <c r="F194" i="1"/>
  <c r="E194" i="1"/>
  <c r="D194" i="1"/>
  <c r="C194" i="1"/>
  <c r="H193" i="1" l="1"/>
  <c r="G193" i="1"/>
  <c r="F193" i="1"/>
  <c r="E193" i="1"/>
  <c r="C193" i="1"/>
  <c r="D193" i="1" s="1"/>
  <c r="H192" i="1"/>
  <c r="G192" i="1"/>
  <c r="F192" i="1"/>
  <c r="E192" i="1"/>
  <c r="D192" i="1"/>
  <c r="C192" i="1"/>
  <c r="H191" i="1" l="1"/>
  <c r="G191" i="1"/>
  <c r="F191" i="1"/>
  <c r="E191" i="1"/>
  <c r="C191" i="1"/>
  <c r="D191" i="1" s="1"/>
  <c r="H190" i="1"/>
  <c r="G190" i="1"/>
  <c r="F190" i="1"/>
  <c r="E190" i="1"/>
  <c r="D190" i="1"/>
  <c r="C190" i="1"/>
  <c r="H189" i="1" l="1"/>
  <c r="G189" i="1"/>
  <c r="F189" i="1"/>
  <c r="E189" i="1"/>
  <c r="C189" i="1"/>
  <c r="D189" i="1" s="1"/>
  <c r="H188" i="1"/>
  <c r="G188" i="1"/>
  <c r="F188" i="1"/>
  <c r="E188" i="1"/>
  <c r="D188" i="1"/>
  <c r="C188" i="1"/>
  <c r="H187" i="1" l="1"/>
  <c r="G187" i="1"/>
  <c r="F187" i="1"/>
  <c r="E187" i="1"/>
  <c r="C187" i="1"/>
  <c r="D187" i="1" s="1"/>
  <c r="H186" i="1"/>
  <c r="G186" i="1"/>
  <c r="F186" i="1"/>
  <c r="E186" i="1"/>
  <c r="D186" i="1"/>
  <c r="C186" i="1"/>
  <c r="H185" i="1" l="1"/>
  <c r="G185" i="1"/>
  <c r="F185" i="1"/>
  <c r="E185" i="1"/>
  <c r="C185" i="1"/>
  <c r="D185" i="1" s="1"/>
  <c r="H184" i="1"/>
  <c r="G184" i="1"/>
  <c r="F184" i="1"/>
  <c r="E184" i="1"/>
  <c r="C184" i="1"/>
  <c r="D184" i="1" s="1"/>
  <c r="H183" i="1" l="1"/>
  <c r="G183" i="1"/>
  <c r="F183" i="1"/>
  <c r="E183" i="1"/>
  <c r="C183" i="1"/>
  <c r="D183" i="1" s="1"/>
  <c r="H182" i="1"/>
  <c r="G182" i="1"/>
  <c r="F182" i="1"/>
  <c r="E182" i="1"/>
  <c r="D182" i="1"/>
  <c r="C182" i="1"/>
  <c r="H181" i="1" l="1"/>
  <c r="G181" i="1"/>
  <c r="F181" i="1"/>
  <c r="E181" i="1"/>
  <c r="C181" i="1"/>
  <c r="D181" i="1" s="1"/>
  <c r="H180" i="1"/>
  <c r="G180" i="1"/>
  <c r="F180" i="1"/>
  <c r="E180" i="1"/>
  <c r="D180" i="1"/>
  <c r="C180" i="1"/>
  <c r="H179" i="1" l="1"/>
  <c r="G179" i="1"/>
  <c r="F179" i="1"/>
  <c r="E179" i="1"/>
  <c r="C179" i="1"/>
  <c r="D179" i="1" s="1"/>
  <c r="H178" i="1"/>
  <c r="G178" i="1"/>
  <c r="F178" i="1"/>
  <c r="E178" i="1"/>
  <c r="C178" i="1"/>
  <c r="D178" i="1" s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C173" i="1"/>
  <c r="D173" i="1" s="1"/>
  <c r="H172" i="1"/>
  <c r="G172" i="1"/>
  <c r="F172" i="1"/>
  <c r="E172" i="1"/>
  <c r="D172" i="1"/>
  <c r="C172" i="1"/>
  <c r="H167" i="1" l="1"/>
  <c r="G167" i="1"/>
  <c r="F167" i="1"/>
  <c r="E167" i="1"/>
  <c r="C167" i="1"/>
  <c r="D167" i="1" s="1"/>
  <c r="H169" i="1"/>
  <c r="G169" i="1"/>
  <c r="F169" i="1"/>
  <c r="E169" i="1"/>
  <c r="D169" i="1"/>
  <c r="C169" i="1"/>
  <c r="H171" i="1"/>
  <c r="G171" i="1"/>
  <c r="F171" i="1"/>
  <c r="E171" i="1"/>
  <c r="C171" i="1"/>
  <c r="D171" i="1" s="1"/>
  <c r="H170" i="1"/>
  <c r="G170" i="1"/>
  <c r="F170" i="1"/>
  <c r="E170" i="1"/>
  <c r="D170" i="1"/>
  <c r="C170" i="1"/>
  <c r="H168" i="1"/>
  <c r="G168" i="1"/>
  <c r="F168" i="1"/>
  <c r="E168" i="1"/>
  <c r="C168" i="1"/>
  <c r="D168" i="1" s="1"/>
  <c r="H166" i="1"/>
  <c r="G166" i="1"/>
  <c r="F166" i="1"/>
  <c r="E166" i="1"/>
  <c r="D166" i="1"/>
  <c r="C166" i="1"/>
  <c r="H165" i="1" l="1"/>
  <c r="G165" i="1"/>
  <c r="F165" i="1"/>
  <c r="E165" i="1"/>
  <c r="C165" i="1"/>
  <c r="D165" i="1" s="1"/>
  <c r="H164" i="1"/>
  <c r="G164" i="1"/>
  <c r="F164" i="1"/>
  <c r="E164" i="1"/>
  <c r="D164" i="1"/>
  <c r="C164" i="1"/>
  <c r="H163" i="1" l="1"/>
  <c r="G163" i="1"/>
  <c r="F163" i="1"/>
  <c r="E163" i="1"/>
  <c r="C163" i="1"/>
  <c r="D163" i="1" s="1"/>
  <c r="H162" i="1"/>
  <c r="G162" i="1"/>
  <c r="F162" i="1"/>
  <c r="E162" i="1"/>
  <c r="D162" i="1"/>
  <c r="C162" i="1"/>
  <c r="H161" i="1" l="1"/>
  <c r="G161" i="1"/>
  <c r="F161" i="1"/>
  <c r="E161" i="1"/>
  <c r="C161" i="1"/>
  <c r="D161" i="1" s="1"/>
  <c r="H160" i="1"/>
  <c r="G160" i="1"/>
  <c r="F160" i="1"/>
  <c r="E160" i="1"/>
  <c r="D160" i="1"/>
  <c r="C160" i="1"/>
  <c r="H159" i="1" l="1"/>
  <c r="G159" i="1"/>
  <c r="F159" i="1"/>
  <c r="E159" i="1"/>
  <c r="C159" i="1"/>
  <c r="D159" i="1" s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C156" i="1"/>
  <c r="D156" i="1" s="1"/>
  <c r="H155" i="1" l="1"/>
  <c r="G155" i="1"/>
  <c r="F155" i="1"/>
  <c r="E155" i="1"/>
  <c r="C155" i="1"/>
  <c r="D155" i="1" s="1"/>
  <c r="H154" i="1"/>
  <c r="G154" i="1"/>
  <c r="F154" i="1"/>
  <c r="E154" i="1"/>
  <c r="C154" i="1"/>
  <c r="D154" i="1" s="1"/>
  <c r="H153" i="1" l="1"/>
  <c r="G153" i="1"/>
  <c r="F153" i="1"/>
  <c r="E153" i="1"/>
  <c r="C153" i="1"/>
  <c r="D153" i="1" s="1"/>
  <c r="H152" i="1"/>
  <c r="G152" i="1"/>
  <c r="F152" i="1"/>
  <c r="E152" i="1"/>
  <c r="C152" i="1"/>
  <c r="D152" i="1" s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C149" i="1"/>
  <c r="D149" i="1" s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C146" i="1"/>
  <c r="D146" i="1" s="1"/>
  <c r="H145" i="1" l="1"/>
  <c r="G145" i="1"/>
  <c r="F145" i="1"/>
  <c r="E145" i="1"/>
  <c r="C145" i="1"/>
  <c r="D145" i="1" s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C138" i="1"/>
  <c r="D138" i="1" s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C135" i="1"/>
  <c r="D135" i="1" s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C130" i="1"/>
  <c r="D130" i="1" s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C102" i="1"/>
  <c r="D102" i="1" s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C92" i="1"/>
  <c r="D92" i="1" s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C80" i="1"/>
  <c r="D80" i="1" s="1"/>
  <c r="H78" i="1"/>
  <c r="G78" i="1"/>
  <c r="F78" i="1"/>
  <c r="E78" i="1"/>
  <c r="C78" i="1"/>
  <c r="D78" i="1" s="1"/>
  <c r="H79" i="1"/>
  <c r="G79" i="1"/>
  <c r="F79" i="1"/>
  <c r="E79" i="1"/>
  <c r="C79" i="1"/>
  <c r="D79" i="1" s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C71" i="1"/>
  <c r="D71" i="1" s="1"/>
  <c r="H70" i="1"/>
  <c r="G70" i="1"/>
  <c r="F70" i="1"/>
  <c r="E70" i="1"/>
  <c r="C70" i="1"/>
  <c r="D70" i="1" s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<sst xmlns="http://schemas.openxmlformats.org/spreadsheetml/2006/main" count="319" uniqueCount="28">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</sst>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395"/>
  <sheetViews>
    <sheetView tabSelected="1" workbookViewId="0">
      <pane ySplit="1" topLeftCell="A219" activePane="bottomLeft" state="frozen"/>
      <selection pane="bottomLeft" activeCell="D263" sqref="D263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</cols>
  <sheetData>
    <row r="1" spans="1:10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</row>
    <row r="2" spans="1:10" x14ac:dyDescent="0.15">
      <c r="A2" s="1">
        <v>45901</v>
      </c>
      <c r="B2" t="s">
        <v>2</v>
      </c>
      <c r="C2" s="5">
        <v>156.393700787402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</row>
    <row r="3" spans="1:10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</row>
    <row r="4" spans="1:10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</row>
    <row r="5" spans="1:10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</row>
    <row r="6" spans="1:10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</row>
    <row r="7" spans="1:10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</row>
    <row r="8" spans="1:10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</row>
    <row r="9" spans="1:10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</row>
    <row r="10" spans="1:10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</row>
    <row r="11" spans="1:10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</row>
    <row r="12" spans="1:10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</row>
    <row r="13" spans="1:10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</row>
    <row r="14" spans="1:10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</row>
    <row r="15" spans="1:10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</row>
    <row r="16" spans="1:10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</row>
    <row r="17" spans="1:10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</row>
    <row r="18" spans="1:10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</row>
    <row r="19" spans="1:10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</row>
    <row r="20" spans="1:10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</row>
    <row r="21" spans="1:10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</row>
    <row r="22" spans="1:10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</row>
    <row r="23" spans="1:10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</row>
    <row r="24" spans="1:10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</row>
    <row r="25" spans="1:10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</row>
    <row r="26" spans="1:10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</row>
    <row r="27" spans="1:10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</row>
    <row r="28" spans="1:10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</row>
    <row r="29" spans="1:10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</row>
    <row r="30" spans="1:10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</row>
    <row r="31" spans="1:10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</row>
    <row r="32" spans="1:10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</row>
    <row r="33" spans="1:10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</row>
    <row r="34" spans="1:10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</row>
    <row r="35" spans="1:10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</row>
    <row r="36" spans="1:10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</row>
    <row r="37" spans="1:10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</row>
    <row r="38" spans="1:10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</row>
    <row r="39" spans="1:10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</row>
    <row r="40" spans="1:10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</row>
    <row r="41" spans="1:10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</row>
    <row r="42" spans="1:10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</row>
    <row r="43" spans="1:10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</row>
    <row r="44" spans="1:10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</row>
    <row r="45" spans="1:10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</row>
    <row r="46" spans="1:10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</row>
    <row r="47" spans="1:10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</row>
    <row r="48" spans="1:10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</row>
    <row r="49" spans="1:10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</row>
    <row r="50" spans="1:10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</row>
    <row r="51" spans="1:10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</row>
    <row r="52" spans="1:10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</row>
    <row r="53" spans="1:10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</row>
    <row r="54" spans="1:10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0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0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0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0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0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0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0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0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0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0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 t="shared" ref="D220:D225" si="26"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 t="shared" si="26"/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 t="shared" si="26"/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 t="shared" si="26"/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 t="shared" si="26"/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 t="shared" si="26"/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  <row r="226" spans="1:8" x14ac:dyDescent="0.15">
      <c r="A226" s="1">
        <v>46013</v>
      </c>
      <c r="B226" t="s">
        <v>2</v>
      </c>
      <c r="C226" s="5">
        <f>17750/126</f>
        <v>140.87301587301587</v>
      </c>
      <c r="D226" s="4">
        <f t="shared" ref="D226:D231" si="27">C226/1440</f>
        <v>9.7828483245149908E-2</v>
      </c>
      <c r="E226" s="5">
        <f>8898/126</f>
        <v>70.61904761904762</v>
      </c>
      <c r="F226" s="5">
        <f>2872/126</f>
        <v>22.793650793650794</v>
      </c>
      <c r="G226" s="5">
        <f>8898/(17750/60)</f>
        <v>30.077746478873241</v>
      </c>
      <c r="H226" s="5">
        <f>286/126</f>
        <v>2.2698412698412698</v>
      </c>
    </row>
    <row r="227" spans="1:8" x14ac:dyDescent="0.15">
      <c r="A227" s="1">
        <v>46013</v>
      </c>
      <c r="B227" t="s">
        <v>3</v>
      </c>
      <c r="C227" s="5">
        <f>8384/36</f>
        <v>232.88888888888889</v>
      </c>
      <c r="D227" s="4">
        <f t="shared" si="27"/>
        <v>0.1617283950617284</v>
      </c>
      <c r="E227" s="5">
        <f>5621/36</f>
        <v>156.13888888888889</v>
      </c>
      <c r="F227" s="5">
        <f>1378/36</f>
        <v>38.277777777777779</v>
      </c>
      <c r="G227" s="5">
        <f>5621/(8384/60)</f>
        <v>40.226622137404583</v>
      </c>
      <c r="H227" s="5">
        <f>207/36</f>
        <v>5.75</v>
      </c>
    </row>
    <row r="228" spans="1:8" x14ac:dyDescent="0.15">
      <c r="A228" s="1">
        <v>46014</v>
      </c>
      <c r="B228" t="s">
        <v>2</v>
      </c>
      <c r="C228" s="5">
        <f>17266/126</f>
        <v>137.03174603174602</v>
      </c>
      <c r="D228" s="4">
        <f t="shared" si="27"/>
        <v>9.5160934744268066E-2</v>
      </c>
      <c r="E228" s="5">
        <f>8753/126</f>
        <v>69.468253968253961</v>
      </c>
      <c r="F228" s="5">
        <f>2895/126</f>
        <v>22.976190476190474</v>
      </c>
      <c r="G228" s="5">
        <f>8753/(17266/60)</f>
        <v>30.417004517548943</v>
      </c>
      <c r="H228" s="5">
        <f>374/126</f>
        <v>2.9682539682539684</v>
      </c>
    </row>
    <row r="229" spans="1:8" x14ac:dyDescent="0.15">
      <c r="A229" s="1">
        <v>46014</v>
      </c>
      <c r="B229" t="s">
        <v>3</v>
      </c>
      <c r="C229" s="5">
        <f>7996/36</f>
        <v>222.11111111111111</v>
      </c>
      <c r="D229" s="4">
        <f t="shared" si="27"/>
        <v>0.15424382716049384</v>
      </c>
      <c r="E229" s="5">
        <f>5074.23/36</f>
        <v>140.95083333333332</v>
      </c>
      <c r="F229" s="5">
        <f>1289/36</f>
        <v>35.805555555555557</v>
      </c>
      <c r="G229" s="5">
        <f>5074/(7996/60)</f>
        <v>38.074037018509252</v>
      </c>
      <c r="H229" s="5">
        <f>183/36</f>
        <v>5.083333333333333</v>
      </c>
    </row>
    <row r="230" spans="1:8" x14ac:dyDescent="0.15">
      <c r="A230" s="1">
        <v>46015</v>
      </c>
      <c r="B230" t="s">
        <v>2</v>
      </c>
      <c r="C230" s="5">
        <f>21692/126</f>
        <v>172.15873015873015</v>
      </c>
      <c r="D230" s="4">
        <f t="shared" si="27"/>
        <v>0.11955467372134038</v>
      </c>
      <c r="E230" s="5">
        <f>10754/126</f>
        <v>85.349206349206355</v>
      </c>
      <c r="F230" s="5">
        <f>3508/126</f>
        <v>27.841269841269842</v>
      </c>
      <c r="G230" s="5">
        <f>10754/(21692/60)</f>
        <v>29.745528305366033</v>
      </c>
      <c r="H230" s="5">
        <f>439/126</f>
        <v>3.4841269841269842</v>
      </c>
    </row>
    <row r="231" spans="1:8" x14ac:dyDescent="0.15">
      <c r="A231" s="1">
        <v>46015</v>
      </c>
      <c r="B231" t="s">
        <v>3</v>
      </c>
      <c r="C231" s="5">
        <f>8421/36</f>
        <v>233.91666666666666</v>
      </c>
      <c r="D231" s="4">
        <f t="shared" si="27"/>
        <v>0.16244212962962962</v>
      </c>
      <c r="E231" s="5">
        <f>5147/36</f>
        <v>142.97222222222223</v>
      </c>
      <c r="F231" s="5">
        <f>1375/36</f>
        <v>38.194444444444443</v>
      </c>
      <c r="G231" s="5">
        <f>5147/(8421/60)</f>
        <v>36.672604203776274</v>
      </c>
      <c r="H231" s="5">
        <f>182/36</f>
        <v>5.0555555555555554</v>
      </c>
    </row>
    <row r="232" spans="1:8" x14ac:dyDescent="0.15">
      <c r="A232" s="1">
        <v>46016</v>
      </c>
      <c r="B232" t="s">
        <v>2</v>
      </c>
      <c r="C232" s="5">
        <f>21598/126</f>
        <v>171.4126984126984</v>
      </c>
      <c r="D232" s="4">
        <f t="shared" ref="D232:D237" si="28">C232/1440</f>
        <v>0.11903659611992945</v>
      </c>
      <c r="E232" s="5">
        <f>10431/126</f>
        <v>82.785714285714292</v>
      </c>
      <c r="F232" s="5">
        <f>3547/126</f>
        <v>28.150793650793652</v>
      </c>
      <c r="G232" s="5">
        <f>10431/(21598/60)</f>
        <v>28.977683118807299</v>
      </c>
      <c r="H232" s="5">
        <f>438/126</f>
        <v>3.4761904761904763</v>
      </c>
    </row>
    <row r="233" spans="1:8" x14ac:dyDescent="0.15">
      <c r="A233" s="1">
        <v>46016</v>
      </c>
      <c r="B233" t="s">
        <v>3</v>
      </c>
      <c r="C233" s="5">
        <f>9941/36</f>
        <v>276.13888888888891</v>
      </c>
      <c r="D233" s="4">
        <f t="shared" si="28"/>
        <v>0.19176311728395062</v>
      </c>
      <c r="E233" s="5">
        <f>6540/36</f>
        <v>181.66666666666666</v>
      </c>
      <c r="F233" s="5">
        <f>1724/36</f>
        <v>47.888888888888886</v>
      </c>
      <c r="G233" s="5">
        <f>6540/(9941/60)</f>
        <v>39.472890051302684</v>
      </c>
      <c r="H233" s="5">
        <f>222/36</f>
        <v>6.166666666666667</v>
      </c>
    </row>
    <row r="234" spans="1:8" x14ac:dyDescent="0.15">
      <c r="A234" s="1">
        <v>46017</v>
      </c>
      <c r="B234" t="s">
        <v>2</v>
      </c>
      <c r="C234" s="5">
        <f>21253/126</f>
        <v>168.67460317460316</v>
      </c>
      <c r="D234" s="4">
        <f t="shared" si="28"/>
        <v>0.11713514109347442</v>
      </c>
      <c r="E234" s="5">
        <f>10476/126</f>
        <v>83.142857142857139</v>
      </c>
      <c r="F234" s="5">
        <f>3453/126</f>
        <v>27.404761904761905</v>
      </c>
      <c r="G234" s="5">
        <f>10476/(21253/60)</f>
        <v>29.575118806756695</v>
      </c>
      <c r="H234" s="5">
        <f>423/126</f>
        <v>3.3571428571428572</v>
      </c>
    </row>
    <row r="235" spans="1:8" x14ac:dyDescent="0.15">
      <c r="A235" s="1">
        <v>46017</v>
      </c>
      <c r="B235" t="s">
        <v>3</v>
      </c>
      <c r="C235" s="5">
        <f>8990/36</f>
        <v>249.72222222222223</v>
      </c>
      <c r="D235" s="4">
        <f t="shared" si="28"/>
        <v>0.17341820987654322</v>
      </c>
      <c r="E235" s="5">
        <f>6068/36</f>
        <v>168.55555555555554</v>
      </c>
      <c r="F235" s="5">
        <f>1619/36</f>
        <v>44.972222222222221</v>
      </c>
      <c r="G235" s="5">
        <f>6068/(8990/60)</f>
        <v>40.49833147942158</v>
      </c>
      <c r="H235" s="5">
        <f>203/36</f>
        <v>5.6388888888888893</v>
      </c>
    </row>
    <row r="236" spans="1:8" x14ac:dyDescent="0.15">
      <c r="A236" s="1">
        <v>46018</v>
      </c>
      <c r="B236" t="s">
        <v>2</v>
      </c>
      <c r="C236" s="5">
        <f>18541/126</f>
        <v>147.15079365079364</v>
      </c>
      <c r="D236" s="4">
        <f t="shared" si="28"/>
        <v>0.10218805114638448</v>
      </c>
      <c r="E236" s="5">
        <f>9217/126</f>
        <v>73.150793650793645</v>
      </c>
      <c r="F236" s="5">
        <f>3062/126</f>
        <v>24.301587301587301</v>
      </c>
      <c r="G236" s="5">
        <f>9217/(18541/60)</f>
        <v>29.826870179601965</v>
      </c>
      <c r="H236" s="5">
        <f>377/126</f>
        <v>2.9920634920634921</v>
      </c>
    </row>
    <row r="237" spans="1:8" x14ac:dyDescent="0.15">
      <c r="A237" s="1">
        <v>46018</v>
      </c>
      <c r="B237" t="s">
        <v>3</v>
      </c>
      <c r="C237" s="5">
        <f>7735/36</f>
        <v>214.86111111111111</v>
      </c>
      <c r="D237" s="4">
        <f t="shared" si="28"/>
        <v>0.14920910493827161</v>
      </c>
      <c r="E237" s="5">
        <f>4885/36</f>
        <v>135.69444444444446</v>
      </c>
      <c r="F237" s="5">
        <f>1295/36</f>
        <v>35.972222222222221</v>
      </c>
      <c r="G237" s="5">
        <f>4885/(7735/60)</f>
        <v>37.892695539754364</v>
      </c>
      <c r="H237" s="5">
        <f>182/36</f>
        <v>5.0555555555555554</v>
      </c>
    </row>
    <row r="238" spans="1:8" x14ac:dyDescent="0.15">
      <c r="A238" s="1">
        <v>46019</v>
      </c>
      <c r="B238" t="s">
        <v>2</v>
      </c>
      <c r="C238" s="5">
        <f>18010/126</f>
        <v>142.93650793650792</v>
      </c>
      <c r="D238" s="4">
        <f>C238/1440</f>
        <v>9.9261463844797171E-2</v>
      </c>
      <c r="E238" s="5">
        <f>9449/126</f>
        <v>74.992063492063494</v>
      </c>
      <c r="F238" s="5">
        <f>3011/126</f>
        <v>23.896825396825395</v>
      </c>
      <c r="G238" s="5">
        <f>9449/(18010/60)</f>
        <v>31.479178234314269</v>
      </c>
      <c r="H238" s="5">
        <f>386/126</f>
        <v>3.0634920634920637</v>
      </c>
    </row>
    <row r="239" spans="1:8" x14ac:dyDescent="0.15">
      <c r="A239" s="1">
        <v>46019</v>
      </c>
      <c r="B239" t="s">
        <v>3</v>
      </c>
      <c r="C239" s="5">
        <f>8078/36</f>
        <v>224.38888888888889</v>
      </c>
      <c r="D239" s="4">
        <f>C239/1440</f>
        <v>0.15582561728395061</v>
      </c>
      <c r="E239" s="5">
        <f>5423/36</f>
        <v>150.63888888888889</v>
      </c>
      <c r="F239" s="5">
        <f>1472/36</f>
        <v>40.888888888888886</v>
      </c>
      <c r="G239" s="5">
        <f>5423/(8078/60)</f>
        <v>40.279772220846745</v>
      </c>
      <c r="H239" s="5">
        <f>182/36</f>
        <v>5.0555555555555554</v>
      </c>
    </row>
    <row r="240" spans="1:8" x14ac:dyDescent="0.15">
      <c r="A240" s="1">
        <v>46020</v>
      </c>
      <c r="B240" t="s">
        <v>2</v>
      </c>
      <c r="C240" s="5">
        <f>18300/126</f>
        <v>145.23809523809524</v>
      </c>
      <c r="D240" s="4">
        <f>C240/1440</f>
        <v>0.10085978835978836</v>
      </c>
      <c r="E240" s="5">
        <f>9427/126</f>
        <v>74.817460317460316</v>
      </c>
      <c r="F240" s="5">
        <f>3148/126</f>
        <v>24.984126984126984</v>
      </c>
      <c r="G240" s="5">
        <f>9427/(18300/60)</f>
        <v>30.908196721311477</v>
      </c>
      <c r="H240" s="5">
        <f>390/126</f>
        <v>3.0952380952380953</v>
      </c>
    </row>
    <row r="241" spans="1:8" x14ac:dyDescent="0.15">
      <c r="A241" s="1">
        <v>46020</v>
      </c>
      <c r="B241" t="s">
        <v>3</v>
      </c>
      <c r="C241" s="5">
        <f>8501/36</f>
        <v>236.13888888888889</v>
      </c>
      <c r="D241" s="4">
        <f>C241/1440</f>
        <v>0.16398533950617283</v>
      </c>
      <c r="E241" s="5">
        <f>5636/36</f>
        <v>156.55555555555554</v>
      </c>
      <c r="F241" s="5">
        <f>1547/36</f>
        <v>42.972222222222221</v>
      </c>
      <c r="G241" s="5">
        <f>5636/(8501/60)</f>
        <v>39.778849547112102</v>
      </c>
      <c r="H241" s="5">
        <f>189/36</f>
        <v>5.25</v>
      </c>
    </row>
    <row r="242" spans="1:8" x14ac:dyDescent="0.15">
      <c r="A242" s="1">
        <v>46054</v>
      </c>
      <c r="B242" t="s">
        <v>2</v>
      </c>
      <c r="C242" s="5">
        <v>154.6950354609929</v>
      </c>
      <c r="D242" s="4">
        <v>0.10742710795902284</v>
      </c>
      <c r="E242" s="5">
        <v>82.129432624113477</v>
      </c>
      <c r="F242" s="5">
        <v>30.5167375886525</v>
      </c>
      <c r="G242" s="5">
        <v>31.854713002017235</v>
      </c>
      <c r="H242" s="5">
        <v>3.3262411347517729</v>
      </c>
    </row>
    <row r="243" spans="1:8" x14ac:dyDescent="0.15">
      <c r="A243" s="1">
        <v>46054</v>
      </c>
      <c r="B243" t="s">
        <v>3</v>
      </c>
      <c r="C243" s="5">
        <v>212.80555555555554</v>
      </c>
      <c r="D243" s="4">
        <v>0.14778163580246911</v>
      </c>
      <c r="E243" s="5">
        <v>139.89527777777778</v>
      </c>
      <c r="F243" s="5">
        <v>37.893055555555556</v>
      </c>
      <c r="G243" s="5">
        <v>39.443127529043203</v>
      </c>
      <c r="H243" s="5">
        <v>4.6388888888888893</v>
      </c>
    </row>
    <row r="244" spans="1:8" x14ac:dyDescent="0.15">
      <c r="A244" s="1">
        <v>46055</v>
      </c>
      <c r="B244" t="s">
        <v>2</v>
      </c>
      <c r="C244" s="5">
        <v>156.85106382978722</v>
      </c>
      <c r="D244" s="4">
        <v>0.10892434988179668</v>
      </c>
      <c r="E244" s="5">
        <v>80.802907801418428</v>
      </c>
      <c r="F244" s="5">
        <v>30.093971631205672</v>
      </c>
      <c r="G244" s="5">
        <v>30.909413998914808</v>
      </c>
      <c r="H244" s="5">
        <v>3.4326241134751774</v>
      </c>
    </row>
    <row r="245" spans="1:8" x14ac:dyDescent="0.15">
      <c r="A245" s="1">
        <v>46055</v>
      </c>
      <c r="B245" t="s">
        <v>3</v>
      </c>
      <c r="C245" s="5">
        <v>216.63888888888889</v>
      </c>
      <c r="D245" s="4">
        <v>0.15044367283950616</v>
      </c>
      <c r="E245" s="5">
        <v>131.46694444444447</v>
      </c>
      <c r="F245" s="5">
        <v>36.265277777777776</v>
      </c>
      <c r="G245" s="5">
        <v>36.410898833183751</v>
      </c>
      <c r="H245" s="5">
        <v>5.1111111111111107</v>
      </c>
    </row>
    <row r="246" spans="1:8" x14ac:dyDescent="0.15">
      <c r="A246" s="1">
        <v>46056</v>
      </c>
      <c r="B246" t="s">
        <v>2</v>
      </c>
      <c r="C246" s="5">
        <v>136.3758865248227</v>
      </c>
      <c r="D246" s="4">
        <v>9.4705476753349102E-2</v>
      </c>
      <c r="E246" s="5">
        <v>70.637730496453898</v>
      </c>
      <c r="F246" s="5">
        <v>26.494397163120567</v>
      </c>
      <c r="G246" s="5">
        <v>31.07780955847938</v>
      </c>
      <c r="H246" s="5">
        <v>3.0921985815602837</v>
      </c>
    </row>
    <row r="247" spans="1:8" x14ac:dyDescent="0.15">
      <c r="A247" s="1">
        <v>46056</v>
      </c>
      <c r="B247" t="s">
        <v>3</v>
      </c>
      <c r="C247" s="5">
        <v>183.13888888888889</v>
      </c>
      <c r="D247" s="4">
        <v>0.12717978395061727</v>
      </c>
      <c r="E247" s="5">
        <v>118.94222222222223</v>
      </c>
      <c r="F247" s="5">
        <v>31.724444444444444</v>
      </c>
      <c r="G247" s="5">
        <v>38.967875018959504</v>
      </c>
      <c r="H247" s="5">
        <v>4.3611111111111107</v>
      </c>
    </row>
    <row r="248" spans="1:8" x14ac:dyDescent="0.15">
      <c r="A248" s="1">
        <v>46057</v>
      </c>
      <c r="B248" t="s">
        <v>2</v>
      </c>
      <c r="C248" s="5">
        <v>135.73049645390071</v>
      </c>
      <c r="D248" s="4">
        <v>9.4257289204097719E-2</v>
      </c>
      <c r="E248" s="5">
        <v>71.347092198581564</v>
      </c>
      <c r="F248" s="5">
        <v>26.81304964539007</v>
      </c>
      <c r="G248" s="5">
        <v>31.539157696729024</v>
      </c>
      <c r="H248" s="5">
        <v>3.1560283687943262</v>
      </c>
    </row>
    <row r="249" spans="1:8" x14ac:dyDescent="0.15">
      <c r="A249" s="1">
        <v>46057</v>
      </c>
      <c r="B249" t="s">
        <v>3</v>
      </c>
      <c r="C249" s="5">
        <v>191.11111111111111</v>
      </c>
      <c r="D249" s="4">
        <v>0.13271604938271606</v>
      </c>
      <c r="E249" s="5">
        <v>123.31916666666666</v>
      </c>
      <c r="F249" s="5">
        <v>33.134166666666665</v>
      </c>
      <c r="G249" s="5">
        <v>38.716482558139532</v>
      </c>
      <c r="H249" s="5">
        <v>4.583333333333333</v>
      </c>
    </row>
    <row r="250" spans="1:8" x14ac:dyDescent="0.15">
      <c r="A250" s="1">
        <v>46058</v>
      </c>
      <c r="B250" t="s">
        <v>2</v>
      </c>
      <c r="C250" s="5">
        <v>133.34042553191489</v>
      </c>
      <c r="D250" s="4">
        <v>9.2597517730496445E-2</v>
      </c>
      <c r="E250" s="5">
        <v>70.836737588652483</v>
      </c>
      <c r="F250" s="5">
        <v>26.894113475177306</v>
      </c>
      <c r="G250" s="5">
        <v>31.874836444869949</v>
      </c>
      <c r="H250" s="5">
        <v>3.0709219858156027</v>
      </c>
    </row>
    <row r="251" spans="1:8" x14ac:dyDescent="0.15">
      <c r="A251" s="1">
        <v>46058</v>
      </c>
      <c r="B251" t="s">
        <v>3</v>
      </c>
      <c r="C251" s="5">
        <v>165.38888888888889</v>
      </c>
      <c r="D251" s="4">
        <v>0.1148533950617284</v>
      </c>
      <c r="E251" s="5">
        <v>105.05166666666668</v>
      </c>
      <c r="F251" s="5">
        <v>28.37027777777778</v>
      </c>
      <c r="G251" s="5">
        <v>38.110782667114549</v>
      </c>
      <c r="H251" s="5">
        <v>4</v>
      </c>
    </row>
    <row r="252" spans="1:8" x14ac:dyDescent="0.15">
      <c r="A252" s="1">
        <v>46059</v>
      </c>
      <c r="B252" t="s">
        <v>2</v>
      </c>
      <c r="C252" s="5">
        <v>154.80141843971631</v>
      </c>
      <c r="D252" s="4">
        <v>0.10750098502758078</v>
      </c>
      <c r="E252" s="5">
        <v>84.175673758865258</v>
      </c>
      <c r="F252" s="5">
        <v>30.786808510638295</v>
      </c>
      <c r="G252" s="5">
        <v>32.6259311861456</v>
      </c>
      <c r="H252" s="5">
        <v>3.5035460992907801</v>
      </c>
    </row>
    <row r="253" spans="1:8" x14ac:dyDescent="0.15">
      <c r="A253" s="1">
        <v>46059</v>
      </c>
      <c r="B253" t="s">
        <v>3</v>
      </c>
      <c r="C253" s="5">
        <v>217.63888888888889</v>
      </c>
      <c r="D253" s="4">
        <v>0.1511381172839506</v>
      </c>
      <c r="E253" s="5">
        <v>143.63250000000002</v>
      </c>
      <c r="F253" s="5">
        <v>38.480277777777779</v>
      </c>
      <c r="G253" s="5">
        <v>39.597472878111041</v>
      </c>
      <c r="H253" s="5">
        <v>4.7222222222222223</v>
      </c>
    </row>
    <row r="254" spans="1:8" x14ac:dyDescent="0.15">
      <c r="A254" s="1">
        <v>46060</v>
      </c>
      <c r="B254" t="s">
        <v>2</v>
      </c>
      <c r="C254" s="5">
        <v>152.81560283687944</v>
      </c>
      <c r="D254" s="4">
        <v>0.10612194641449961</v>
      </c>
      <c r="E254" s="5">
        <v>81.144751773049649</v>
      </c>
      <c r="F254" s="5">
        <v>29.980354609929076</v>
      </c>
      <c r="G254" s="5">
        <v>31.859869123311828</v>
      </c>
      <c r="H254" s="5">
        <v>3.3404255319148937</v>
      </c>
    </row>
    <row r="255" spans="1:8" x14ac:dyDescent="0.15">
      <c r="A255" s="1">
        <v>46060</v>
      </c>
      <c r="B255" t="s">
        <v>3</v>
      </c>
      <c r="C255" s="5">
        <v>219.30555555555554</v>
      </c>
      <c r="D255" s="4">
        <v>0.15229552469135801</v>
      </c>
      <c r="E255" s="5">
        <v>134.41055555555556</v>
      </c>
      <c r="F255" s="5">
        <v>36.601388888888891</v>
      </c>
      <c r="G255" s="5">
        <v>36.773502216592775</v>
      </c>
      <c r="H255" s="5">
        <v>5</v>
      </c>
    </row>
    <row r="256" spans="1:8" x14ac:dyDescent="0.15">
      <c r="A256" s="1">
        <v>46061</v>
      </c>
      <c r="B256" t="s">
        <v>2</v>
      </c>
      <c r="C256" s="5">
        <v>149.49645390070921</v>
      </c>
      <c r="D256" s="4">
        <v>0.10381698187549251</v>
      </c>
      <c r="E256" s="5">
        <v>78.56978723404255</v>
      </c>
      <c r="F256" s="5">
        <v>29.772411347517728</v>
      </c>
      <c r="G256" s="5">
        <v>31.5337729493809</v>
      </c>
      <c r="H256" s="5">
        <v>3.2056737588652484</v>
      </c>
    </row>
    <row r="257" spans="1:8" x14ac:dyDescent="0.15">
      <c r="A257" s="1">
        <v>46061</v>
      </c>
      <c r="B257" t="s">
        <v>3</v>
      </c>
      <c r="C257" s="5">
        <v>197.61111111111111</v>
      </c>
      <c r="D257" s="4">
        <v>0.13722993827160493</v>
      </c>
      <c r="E257" s="5">
        <v>129.14444444444445</v>
      </c>
      <c r="F257" s="5">
        <v>34.617777777777775</v>
      </c>
      <c r="G257" s="5">
        <v>39.211695248805171</v>
      </c>
      <c r="H257" s="5">
        <v>4.4722222222222223</v>
      </c>
    </row>
    <row r="258" spans="1:8" x14ac:dyDescent="0.15">
      <c r="A258" s="1">
        <v>46062</v>
      </c>
      <c r="B258" t="s">
        <v>2</v>
      </c>
      <c r="C258" s="5">
        <v>165.50354609929079</v>
      </c>
      <c r="D258" s="4">
        <v>0.11493301812450749</v>
      </c>
      <c r="E258" s="5">
        <v>89.579219858156023</v>
      </c>
      <c r="F258" s="5">
        <v>33.477234042553192</v>
      </c>
      <c r="G258" s="5">
        <v>32.475154268083649</v>
      </c>
      <c r="H258" s="5">
        <v>3.8226950354609928</v>
      </c>
    </row>
    <row r="259" spans="1:8" x14ac:dyDescent="0.15">
      <c r="A259" s="1">
        <v>46062</v>
      </c>
      <c r="B259" t="s">
        <v>3</v>
      </c>
      <c r="C259" s="5">
        <v>216.30555555555554</v>
      </c>
      <c r="D259" s="4">
        <v>0.15021219135802469</v>
      </c>
      <c r="E259" s="5">
        <v>133.34416666666667</v>
      </c>
      <c r="F259" s="5">
        <v>35.777500000000003</v>
      </c>
      <c r="G259" s="5">
        <v>36.987723128290746</v>
      </c>
      <c r="H259" s="5">
        <v>4.6944444444444446</v>
      </c>
    </row>
    <row r="260" spans="1:8" x14ac:dyDescent="0.15">
      <c r="A260" s="1">
        <v>46063</v>
      </c>
      <c r="B260" t="s">
        <v>2</v>
      </c>
      <c r="C260" s="5">
        <v>175.01418439716312</v>
      </c>
      <c r="D260" s="4">
        <v>0.12153762805358551</v>
      </c>
      <c r="E260" s="5">
        <v>88.696241134751773</v>
      </c>
      <c r="F260" s="5">
        <v>32.868014184397168</v>
      </c>
      <c r="G260" s="5">
        <v>30.407675163107346</v>
      </c>
      <c r="H260" s="5">
        <v>3.5886524822695036</v>
      </c>
    </row>
    <row r="261" spans="1:8" x14ac:dyDescent="0.15">
      <c r="A261" s="1">
        <v>46063</v>
      </c>
      <c r="B261" t="s">
        <v>3</v>
      </c>
      <c r="C261" s="5">
        <v>204.75</v>
      </c>
      <c r="D261" s="4">
        <v>0.14218749999999999</v>
      </c>
      <c r="E261" s="5">
        <v>139.07388888888889</v>
      </c>
      <c r="F261" s="5">
        <v>37.49861111111111</v>
      </c>
      <c r="G261" s="5">
        <v>40.754253154253156</v>
      </c>
      <c r="H261" s="5">
        <v>4.583333333333333</v>
      </c>
    </row>
    <row r="262" spans="1:8" x14ac:dyDescent="0.15">
      <c r="A262" s="1">
        <v>46064</v>
      </c>
      <c r="B262" t="s">
        <v>2</v>
      </c>
      <c r="C262" s="5">
        <v>161.44680851063831</v>
      </c>
      <c r="D262" s="4">
        <v>0.11211583924349883</v>
      </c>
      <c r="E262" s="5">
        <v>87.886241134751771</v>
      </c>
      <c r="F262" s="5">
        <v>32.641560283687944</v>
      </c>
      <c r="G262" s="5">
        <v>32.661992619926195</v>
      </c>
      <c r="H262" s="5">
        <v>3.602836879432624</v>
      </c>
    </row>
    <row r="263" spans="1:8" x14ac:dyDescent="0.15">
      <c r="A263" s="1">
        <v>46064</v>
      </c>
      <c r="B263" t="s">
        <v>3</v>
      </c>
      <c r="C263" s="5">
        <v>183.75</v>
      </c>
      <c r="D263" s="4">
        <v>0.12760416666666666</v>
      </c>
      <c r="E263" s="5">
        <v>117.22055555555555</v>
      </c>
      <c r="F263" s="5">
        <v>33.527222222222221</v>
      </c>
      <c r="G263" s="5">
        <v>38.276099773242628</v>
      </c>
      <c r="H263" s="5">
        <v>4.083333333333333</v>
      </c>
    </row>
    <row r="264" spans="1:8" x14ac:dyDescent="0.15">
      <c r="A264" s="1">
        <v>46065</v>
      </c>
      <c r="B264" t="s">
        <v>2</v>
      </c>
      <c r="C264" s="5">
        <v>140.19148936170214</v>
      </c>
      <c r="D264" s="4">
        <v>9.7355200945626483E-2</v>
      </c>
      <c r="E264" s="5">
        <v>76.590709219858155</v>
      </c>
      <c r="F264" s="5">
        <v>28.48382978723404</v>
      </c>
      <c r="G264" s="5">
        <v>32.779754135680683</v>
      </c>
      <c r="H264" s="5">
        <v>3.2695035460992909</v>
      </c>
    </row>
    <row r="265" spans="1:8" x14ac:dyDescent="0.15">
      <c r="A265" s="1">
        <v>46065</v>
      </c>
      <c r="B265" t="s">
        <v>3</v>
      </c>
      <c r="C265" s="5">
        <v>156.63888888888889</v>
      </c>
      <c r="D265" s="4">
        <v>0.1087770061728395</v>
      </c>
      <c r="E265" s="5">
        <v>104.81416666666667</v>
      </c>
      <c r="F265" s="5">
        <v>30.519722222222224</v>
      </c>
      <c r="G265" s="5">
        <v>40.14871431104806</v>
      </c>
      <c r="H265" s="5">
        <v>3.3055555555555554</v>
      </c>
    </row>
    <row r="266" spans="1:8" x14ac:dyDescent="0.15">
      <c r="A266" s="1">
        <v>46066</v>
      </c>
      <c r="B266" t="s">
        <v>2</v>
      </c>
      <c r="C266" s="5">
        <v>140.50354609929079</v>
      </c>
      <c r="D266" s="4">
        <v>9.7571907013396381E-2</v>
      </c>
      <c r="E266" s="5">
        <v>75.454964539007094</v>
      </c>
      <c r="F266" s="5">
        <v>28.181985815602836</v>
      </c>
      <c r="G266" s="5">
        <v>32.221947402957952</v>
      </c>
      <c r="H266" s="5">
        <v>3.0851063829787235</v>
      </c>
    </row>
    <row r="267" spans="1:8" x14ac:dyDescent="0.15">
      <c r="A267" s="1">
        <v>46066</v>
      </c>
      <c r="B267" t="s">
        <v>3</v>
      </c>
      <c r="C267" s="5">
        <v>131.11111111111111</v>
      </c>
      <c r="D267" s="4">
        <v>9.1049382716049385E-2</v>
      </c>
      <c r="E267" s="5">
        <v>90.831388888888881</v>
      </c>
      <c r="F267" s="5">
        <v>24.625833333333333</v>
      </c>
      <c r="G267" s="5">
        <v>41.566906779661011</v>
      </c>
      <c r="H267" s="5">
        <v>2.9444444444444446</v>
      </c>
    </row>
    <row r="268" spans="1:8" x14ac:dyDescent="0.15">
      <c r="A268" s="1">
        <v>46067</v>
      </c>
      <c r="B268" t="s">
        <v>2</v>
      </c>
      <c r="C268" s="5">
        <v>115.24113475177305</v>
      </c>
      <c r="D268" s="4">
        <v>8.0028565799842397E-2</v>
      </c>
      <c r="E268" s="5">
        <v>62.2322695035461</v>
      </c>
      <c r="F268" s="5">
        <v>23.186595744680851</v>
      </c>
      <c r="G268" s="5">
        <v>32.401070835128316</v>
      </c>
      <c r="H268" s="5">
        <v>2.5886524822695036</v>
      </c>
    </row>
    <row r="269" spans="1:8" x14ac:dyDescent="0.15">
      <c r="A269" s="1">
        <v>46067</v>
      </c>
      <c r="B269" t="s">
        <v>3</v>
      </c>
      <c r="C269" s="5">
        <v>104.83333333333333</v>
      </c>
      <c r="D269" s="4">
        <v>7.2800925925925922E-2</v>
      </c>
      <c r="E269" s="5">
        <v>80.362500000000011</v>
      </c>
      <c r="F269" s="5">
        <v>23.709444444444443</v>
      </c>
      <c r="G269" s="5">
        <v>45.994435612082675</v>
      </c>
      <c r="H269" s="5">
        <v>2.6111111111111112</v>
      </c>
    </row>
    <row r="270" spans="1:8" x14ac:dyDescent="0.15">
      <c r="A270" s="1">
        <v>46068</v>
      </c>
      <c r="B270" t="s">
        <v>2</v>
      </c>
      <c r="C270" s="5">
        <v>112.24299065420561</v>
      </c>
      <c r="D270" s="4">
        <v>7.7946521287642789E-2</v>
      </c>
      <c r="E270" s="5">
        <v>64.136542056074759</v>
      </c>
      <c r="F270" s="5">
        <v>23.745233644859812</v>
      </c>
      <c r="G270" s="5">
        <v>34.284479600333057</v>
      </c>
      <c r="H270" s="5">
        <v>2.7196261682242993</v>
      </c>
    </row>
    <row r="271" spans="1:8" x14ac:dyDescent="0.15">
      <c r="A271" s="1">
        <v>46068</v>
      </c>
      <c r="B271" t="s">
        <v>3</v>
      </c>
      <c r="C271" s="5">
        <v>48.944444444444443</v>
      </c>
      <c r="D271" s="4">
        <v>3.3989197530864199E-2</v>
      </c>
      <c r="E271" s="5">
        <v>37.666944444444447</v>
      </c>
      <c r="F271" s="5">
        <v>11.809444444444445</v>
      </c>
      <c r="G271" s="5">
        <v>46.175141884222477</v>
      </c>
      <c r="H271" s="5">
        <v>1.3611111111111112</v>
      </c>
    </row>
    <row r="272" spans="1:8" x14ac:dyDescent="0.15">
      <c r="A272" s="1">
        <v>46069</v>
      </c>
      <c r="B272" t="s">
        <v>2</v>
      </c>
      <c r="C272" s="5">
        <v>82.289719626168221</v>
      </c>
      <c r="D272" s="4">
        <v>5.7145638629283485E-2</v>
      </c>
      <c r="E272" s="5">
        <v>45.112616822429906</v>
      </c>
      <c r="F272" s="5">
        <v>16.544579439252335</v>
      </c>
      <c r="G272" s="5">
        <v>32.893015332197614</v>
      </c>
      <c r="H272" s="5">
        <v>1.7757009345794392</v>
      </c>
    </row>
    <row r="273" spans="1:8" x14ac:dyDescent="0.15">
      <c r="A273" s="1">
        <v>46069</v>
      </c>
      <c r="B273" t="s">
        <v>3</v>
      </c>
      <c r="C273" s="5">
        <v>20.333333333333332</v>
      </c>
      <c r="D273" s="4">
        <v>1.412037037037037E-2</v>
      </c>
      <c r="E273" s="5">
        <v>18.807500000000001</v>
      </c>
      <c r="F273" s="5">
        <v>4.5102777777777776</v>
      </c>
      <c r="G273" s="5">
        <v>55.497540983606562</v>
      </c>
      <c r="H273" s="5">
        <v>0.47222222222222221</v>
      </c>
    </row>
    <row r="274" spans="1:8" x14ac:dyDescent="0.15">
      <c r="A274" s="1">
        <v>46070</v>
      </c>
      <c r="B274" t="s">
        <v>2</v>
      </c>
      <c r="C274" s="5">
        <v>62.168224299065422</v>
      </c>
      <c r="D274" s="4">
        <v>4.3172377985462099E-2</v>
      </c>
      <c r="E274" s="5">
        <v>34.110280373831777</v>
      </c>
      <c r="F274" s="5">
        <v>12.419906542056076</v>
      </c>
      <c r="G274" s="5">
        <v>32.920625375826823</v>
      </c>
      <c r="H274" s="5">
        <v>1.308411214953271</v>
      </c>
    </row>
    <row r="275" spans="1:8" x14ac:dyDescent="0.15">
      <c r="A275" s="1">
        <v>46070</v>
      </c>
      <c r="B275" t="s">
        <v>3</v>
      </c>
      <c r="C275" s="5">
        <v>39.166666666666664</v>
      </c>
      <c r="D275" s="4">
        <v>2.7199074074074073E-2</v>
      </c>
      <c r="E275" s="5">
        <v>25.56527777777778</v>
      </c>
      <c r="F275" s="5">
        <v>6.8783333333333339</v>
      </c>
      <c r="G275" s="5">
        <v>39.163829787234043</v>
      </c>
      <c r="H275" s="5">
        <v>0.86111111111111116</v>
      </c>
    </row>
    <row r="276" spans="1:8" x14ac:dyDescent="0.15">
      <c r="A276" s="1">
        <v>46071</v>
      </c>
      <c r="B276" t="s">
        <v>2</v>
      </c>
      <c r="C276" s="5">
        <v>80.168224299065415</v>
      </c>
      <c r="D276" s="4">
        <v>5.5672377985462096E-2</v>
      </c>
      <c r="E276" s="5">
        <v>44.159065420560751</v>
      </c>
      <c r="F276" s="5">
        <v>16.027009345794394</v>
      </c>
      <c r="G276" s="5">
        <v>33.049801818605737</v>
      </c>
      <c r="H276" s="5">
        <v>1.7102803738317758</v>
      </c>
    </row>
    <row r="277" spans="1:8" x14ac:dyDescent="0.15">
      <c r="A277" s="1">
        <v>46071</v>
      </c>
      <c r="B277" t="s">
        <v>3</v>
      </c>
      <c r="C277" s="5">
        <v>42.888888888888886</v>
      </c>
      <c r="D277" s="4">
        <v>2.978395061728395E-2</v>
      </c>
      <c r="E277" s="5">
        <v>33.483333333333334</v>
      </c>
      <c r="F277" s="5">
        <v>9.6930555555555546</v>
      </c>
      <c r="G277" s="5">
        <v>46.8419689119171</v>
      </c>
      <c r="H277" s="5">
        <v>0.91666666666666663</v>
      </c>
    </row>
    <row r="278" spans="1:8" x14ac:dyDescent="0.15">
      <c r="A278" s="1">
        <v>46072</v>
      </c>
      <c r="B278" t="s">
        <v>2</v>
      </c>
      <c r="C278" s="5">
        <v>79.560747663551396</v>
      </c>
      <c r="D278" s="4">
        <v>5.5250519210799584E-2</v>
      </c>
      <c r="E278" s="5">
        <v>46.943551401869158</v>
      </c>
      <c r="F278" s="5">
        <v>17.543738317757011</v>
      </c>
      <c r="G278" s="5">
        <v>35.402043932808645</v>
      </c>
      <c r="H278" s="5">
        <v>1.766355140186916</v>
      </c>
    </row>
    <row r="279" spans="1:8" x14ac:dyDescent="0.15">
      <c r="A279" s="1">
        <v>46072</v>
      </c>
      <c r="B279" t="s">
        <v>3</v>
      </c>
      <c r="C279" s="5">
        <v>46.416666666666664</v>
      </c>
      <c r="D279" s="4">
        <v>3.2233796296296295E-2</v>
      </c>
      <c r="E279" s="5">
        <v>29.619166666666665</v>
      </c>
      <c r="F279" s="5">
        <v>7.5836111111111109</v>
      </c>
      <c r="G279" s="5">
        <v>38.28689407540395</v>
      </c>
      <c r="H279" s="5">
        <v>0.86111111111111116</v>
      </c>
    </row>
    <row r="280" spans="1:8" x14ac:dyDescent="0.15">
      <c r="A280" s="1">
        <v>46073</v>
      </c>
      <c r="B280" t="s">
        <v>2</v>
      </c>
      <c r="C280" s="5">
        <v>88.635514018691595</v>
      </c>
      <c r="D280" s="4">
        <v>6.155244029075805E-2</v>
      </c>
      <c r="E280" s="5">
        <v>52.364672897196265</v>
      </c>
      <c r="F280" s="5">
        <v>19.136448598130841</v>
      </c>
      <c r="G280" s="5">
        <v>35.447195276254746</v>
      </c>
      <c r="H280" s="5">
        <v>2.02803738317757</v>
      </c>
    </row>
    <row r="281" spans="1:8" x14ac:dyDescent="0.15">
      <c r="A281" s="1">
        <v>46073</v>
      </c>
      <c r="B281" t="s">
        <v>3</v>
      </c>
      <c r="C281" s="5">
        <v>48.138888888888886</v>
      </c>
      <c r="D281" s="4">
        <v>3.3429783950617284E-2</v>
      </c>
      <c r="E281" s="5">
        <v>33.876111111111108</v>
      </c>
      <c r="F281" s="5">
        <v>8.6925000000000008</v>
      </c>
      <c r="G281" s="5">
        <v>42.222965954991345</v>
      </c>
      <c r="H281" s="5">
        <v>1.0555555555555556</v>
      </c>
    </row>
    <row r="282" spans="1:8" x14ac:dyDescent="0.15">
      <c r="A282" s="1">
        <v>46074</v>
      </c>
      <c r="B282" t="s">
        <v>2</v>
      </c>
      <c r="C282" s="5">
        <v>97.44859813084112</v>
      </c>
      <c r="D282" s="4">
        <v>6.7672637590861895E-2</v>
      </c>
      <c r="E282" s="5">
        <v>55.866869158878508</v>
      </c>
      <c r="F282" s="5">
        <v>20.694953271028037</v>
      </c>
      <c r="G282" s="5">
        <v>34.397746235734154</v>
      </c>
      <c r="H282" s="5">
        <v>2.3831775700934581</v>
      </c>
    </row>
    <row r="283" spans="1:8" x14ac:dyDescent="0.15">
      <c r="A283" s="1">
        <v>46074</v>
      </c>
      <c r="B283" t="s">
        <v>3</v>
      </c>
      <c r="C283" s="5">
        <v>55.305555555555557</v>
      </c>
      <c r="D283" s="4">
        <v>3.8406635802469134E-2</v>
      </c>
      <c r="E283" s="5">
        <v>41.728333333333332</v>
      </c>
      <c r="F283" s="5">
        <v>11.626666666666667</v>
      </c>
      <c r="G283" s="5">
        <v>45.270316423907587</v>
      </c>
      <c r="H283" s="5">
        <v>1.5555555555555556</v>
      </c>
    </row>
    <row r="284" spans="1:8" x14ac:dyDescent="0.15">
      <c r="A284" s="1">
        <v>46075</v>
      </c>
      <c r="B284" t="s">
        <v>2</v>
      </c>
      <c r="C284" s="5">
        <v>112.32710280373831</v>
      </c>
      <c r="D284" s="4">
        <v>7.8004932502596047E-2</v>
      </c>
      <c r="E284" s="5">
        <v>65.91887850467289</v>
      </c>
      <c r="F284" s="5">
        <v>24.573644859813086</v>
      </c>
      <c r="G284" s="5">
        <v>35.210849488310174</v>
      </c>
      <c r="H284" s="5">
        <v>2.5887850467289719</v>
      </c>
    </row>
    <row r="285" spans="1:8" x14ac:dyDescent="0.15">
      <c r="A285" s="1">
        <v>46075</v>
      </c>
      <c r="B285" t="s">
        <v>3</v>
      </c>
      <c r="C285" s="5">
        <v>58.305555555555557</v>
      </c>
      <c r="D285" s="4">
        <v>4.0489969135802467E-2</v>
      </c>
      <c r="E285" s="5">
        <v>40.166944444444447</v>
      </c>
      <c r="F285" s="5">
        <v>11.313611111111111</v>
      </c>
      <c r="G285" s="5">
        <v>41.33425440686041</v>
      </c>
      <c r="H285" s="5">
        <v>1.3611111111111112</v>
      </c>
    </row>
    <row r="286" spans="1:8" x14ac:dyDescent="0.15">
      <c r="A286" s="1">
        <v>46076</v>
      </c>
      <c r="B286" t="s">
        <v>2</v>
      </c>
      <c r="C286" s="5">
        <v>121.1588785046729</v>
      </c>
      <c r="D286" s="4">
        <v>8.4138110072689509E-2</v>
      </c>
      <c r="E286" s="5">
        <v>69.024392523364483</v>
      </c>
      <c r="F286" s="5">
        <v>25.550654205607476</v>
      </c>
      <c r="G286" s="5">
        <v>34.18208886146251</v>
      </c>
      <c r="H286" s="5">
        <v>2.9906542056074765</v>
      </c>
    </row>
    <row r="287" spans="1:8" x14ac:dyDescent="0.15">
      <c r="A287" s="1">
        <v>46076</v>
      </c>
      <c r="B287" t="s">
        <v>3</v>
      </c>
      <c r="C287" s="5">
        <v>86.5</v>
      </c>
      <c r="D287" s="4">
        <v>6.0069444444444446E-2</v>
      </c>
      <c r="E287" s="5">
        <v>61.698055555555555</v>
      </c>
      <c r="F287" s="5">
        <v>17.139444444444443</v>
      </c>
      <c r="G287" s="5">
        <v>42.796339113680155</v>
      </c>
      <c r="H287" s="5">
        <v>1.9444444444444444</v>
      </c>
    </row>
    <row r="288" spans="1:8" x14ac:dyDescent="0.15">
      <c r="A288" s="1">
        <v>46077</v>
      </c>
      <c r="B288" t="s">
        <v>2</v>
      </c>
      <c r="C288" s="5">
        <v>165.44859813084113</v>
      </c>
      <c r="D288" s="4">
        <v>0.11489485981308412</v>
      </c>
      <c r="E288" s="5">
        <v>87.849906542056075</v>
      </c>
      <c r="F288" s="5">
        <v>32.318971962616821</v>
      </c>
      <c r="G288" s="5">
        <v>31.858803592611423</v>
      </c>
      <c r="H288" s="5">
        <v>3.5794392523364484</v>
      </c>
    </row>
    <row r="289" spans="1:8" x14ac:dyDescent="0.15">
      <c r="A289" s="1">
        <v>46077</v>
      </c>
      <c r="B289" t="s">
        <v>3</v>
      </c>
      <c r="C289" s="5">
        <v>141</v>
      </c>
      <c r="D289" s="4">
        <v>9.7916666666666666E-2</v>
      </c>
      <c r="E289" s="5">
        <v>80.940555555555562</v>
      </c>
      <c r="F289" s="5">
        <v>21.985833333333332</v>
      </c>
      <c r="G289" s="5">
        <v>34.442789598108753</v>
      </c>
      <c r="H289" s="5">
        <v>3</v>
      </c>
    </row>
    <row r="290" spans="1:8" x14ac:dyDescent="0.15">
      <c r="H290" s="9"/>
    </row>
    <row r="291" spans="1:8" x14ac:dyDescent="0.15">
      <c r="H291" s="9"/>
    </row>
    <row r="292" spans="1:8" x14ac:dyDescent="0.15">
      <c r="H292" s="9"/>
    </row>
    <row r="293" spans="1:8" x14ac:dyDescent="0.15">
      <c r="H293" s="9"/>
    </row>
    <row r="294" spans="1:8" x14ac:dyDescent="0.15">
      <c r="H294" s="9"/>
    </row>
    <row r="295" spans="1:8" x14ac:dyDescent="0.15">
      <c r="H295" s="9"/>
    </row>
    <row r="296" spans="1:8" x14ac:dyDescent="0.15">
      <c r="H296" s="9"/>
    </row>
    <row r="297" spans="1:8" x14ac:dyDescent="0.15">
      <c r="H297" s="9"/>
    </row>
    <row r="298" spans="1:8" x14ac:dyDescent="0.15">
      <c r="H298" s="9"/>
    </row>
    <row r="299" spans="1:8" x14ac:dyDescent="0.15">
      <c r="H299" s="9"/>
    </row>
    <row r="300" spans="1:8" x14ac:dyDescent="0.15">
      <c r="H300" s="9"/>
    </row>
    <row r="301" spans="1:8" x14ac:dyDescent="0.15">
      <c r="H301" s="9"/>
    </row>
    <row r="302" spans="1:8" x14ac:dyDescent="0.15">
      <c r="H302" s="9"/>
    </row>
    <row r="303" spans="1:8" x14ac:dyDescent="0.15">
      <c r="H303" s="9"/>
    </row>
    <row r="304" spans="1:8" x14ac:dyDescent="0.15">
      <c r="H304" s="9"/>
    </row>
    <row r="305" spans="8:8" x14ac:dyDescent="0.15">
      <c r="H305" s="9"/>
    </row>
    <row r="306" spans="8:8" x14ac:dyDescent="0.15">
      <c r="H306" s="9"/>
    </row>
    <row r="307" spans="8:8" x14ac:dyDescent="0.15">
      <c r="H307" s="9"/>
    </row>
    <row r="308" spans="8:8" x14ac:dyDescent="0.15">
      <c r="H308" s="9"/>
    </row>
    <row r="309" spans="8:8" x14ac:dyDescent="0.15">
      <c r="H309" s="9"/>
    </row>
    <row r="310" spans="8:8" x14ac:dyDescent="0.15">
      <c r="H310" s="9"/>
    </row>
    <row r="311" spans="8:8" x14ac:dyDescent="0.15">
      <c r="H311" s="9"/>
    </row>
    <row r="312" spans="8:8" x14ac:dyDescent="0.15">
      <c r="H312" s="9"/>
    </row>
    <row r="313" spans="8:8" x14ac:dyDescent="0.15">
      <c r="H313" s="9"/>
    </row>
    <row r="314" spans="8:8" x14ac:dyDescent="0.15">
      <c r="H314" s="9"/>
    </row>
    <row r="315" spans="8:8" x14ac:dyDescent="0.15">
      <c r="H315" s="9"/>
    </row>
    <row r="316" spans="8:8" x14ac:dyDescent="0.15">
      <c r="H316" s="9"/>
    </row>
    <row r="317" spans="8:8" x14ac:dyDescent="0.15">
      <c r="H317" s="9"/>
    </row>
    <row r="318" spans="8:8" x14ac:dyDescent="0.15">
      <c r="H318" s="9"/>
    </row>
    <row r="319" spans="8:8" x14ac:dyDescent="0.15">
      <c r="H319" s="9"/>
    </row>
    <row r="320" spans="8:8" x14ac:dyDescent="0.15">
      <c r="H320" s="9"/>
    </row>
    <row r="321" spans="8:8" x14ac:dyDescent="0.15">
      <c r="H321" s="9"/>
    </row>
    <row r="322" spans="8:8" x14ac:dyDescent="0.15">
      <c r="H322" s="9"/>
    </row>
    <row r="323" spans="8:8" x14ac:dyDescent="0.15">
      <c r="H323" s="9"/>
    </row>
    <row r="324" spans="8:8" x14ac:dyDescent="0.15">
      <c r="H324" s="9"/>
    </row>
    <row r="325" spans="8:8" x14ac:dyDescent="0.15">
      <c r="H325" s="9"/>
    </row>
    <row r="326" spans="8:8" x14ac:dyDescent="0.15">
      <c r="H326" s="9"/>
    </row>
    <row r="327" spans="8:8" x14ac:dyDescent="0.15">
      <c r="H327" s="9"/>
    </row>
    <row r="328" spans="8:8" x14ac:dyDescent="0.15">
      <c r="H328" s="9"/>
    </row>
    <row r="329" spans="8:8" x14ac:dyDescent="0.15">
      <c r="H329" s="9"/>
    </row>
    <row r="330" spans="8:8" x14ac:dyDescent="0.15">
      <c r="H330" s="9"/>
    </row>
    <row r="331" spans="8:8" x14ac:dyDescent="0.15">
      <c r="H331" s="9"/>
    </row>
    <row r="332" spans="8:8" x14ac:dyDescent="0.15">
      <c r="H332" s="9"/>
    </row>
    <row r="333" spans="8:8" x14ac:dyDescent="0.15">
      <c r="H333" s="9"/>
    </row>
    <row r="334" spans="8:8" x14ac:dyDescent="0.15">
      <c r="H334" s="9"/>
    </row>
    <row r="335" spans="8:8" x14ac:dyDescent="0.15">
      <c r="H335" s="9"/>
    </row>
    <row r="336" spans="8:8" x14ac:dyDescent="0.15">
      <c r="H336" s="9"/>
    </row>
    <row r="337" spans="8:8" x14ac:dyDescent="0.15">
      <c r="H337" s="9"/>
    </row>
    <row r="338" spans="8:8" x14ac:dyDescent="0.15">
      <c r="H338" s="9"/>
    </row>
    <row r="339" spans="8:8" x14ac:dyDescent="0.15">
      <c r="H339" s="9"/>
    </row>
    <row r="340" spans="8:8" x14ac:dyDescent="0.15">
      <c r="H340" s="9"/>
    </row>
    <row r="341" spans="8:8" x14ac:dyDescent="0.15">
      <c r="H341" s="9"/>
    </row>
    <row r="342" spans="8:8" x14ac:dyDescent="0.15">
      <c r="H342" s="9"/>
    </row>
    <row r="343" spans="8:8" x14ac:dyDescent="0.15">
      <c r="H343" s="9"/>
    </row>
    <row r="344" spans="8:8" x14ac:dyDescent="0.15">
      <c r="H344" s="9"/>
    </row>
    <row r="345" spans="8:8" x14ac:dyDescent="0.15">
      <c r="H345" s="9"/>
    </row>
    <row r="346" spans="8:8" x14ac:dyDescent="0.15">
      <c r="H346" s="9"/>
    </row>
    <row r="347" spans="8:8" x14ac:dyDescent="0.15">
      <c r="H347" s="9"/>
    </row>
    <row r="348" spans="8:8" x14ac:dyDescent="0.15">
      <c r="H348" s="9"/>
    </row>
    <row r="349" spans="8:8" x14ac:dyDescent="0.15">
      <c r="H349" s="9"/>
    </row>
    <row r="350" spans="8:8" x14ac:dyDescent="0.15">
      <c r="H350" s="9"/>
    </row>
    <row r="351" spans="8:8" x14ac:dyDescent="0.15">
      <c r="H351" s="9"/>
    </row>
    <row r="352" spans="8:8" x14ac:dyDescent="0.15">
      <c r="H352" s="9"/>
    </row>
    <row r="353" spans="8:8" x14ac:dyDescent="0.15">
      <c r="H353" s="9"/>
    </row>
    <row r="354" spans="8:8" x14ac:dyDescent="0.15">
      <c r="H354" s="9"/>
    </row>
    <row r="355" spans="8:8" x14ac:dyDescent="0.15">
      <c r="H355" s="9"/>
    </row>
    <row r="356" spans="8:8" x14ac:dyDescent="0.15">
      <c r="H356" s="9"/>
    </row>
    <row r="357" spans="8:8" x14ac:dyDescent="0.15">
      <c r="H357" s="9"/>
    </row>
    <row r="358" spans="8:8" x14ac:dyDescent="0.15">
      <c r="H358" s="9"/>
    </row>
    <row r="359" spans="8:8" x14ac:dyDescent="0.15">
      <c r="H359" s="9"/>
    </row>
    <row r="360" spans="8:8" x14ac:dyDescent="0.15">
      <c r="H360" s="9"/>
    </row>
    <row r="361" spans="8:8" x14ac:dyDescent="0.15">
      <c r="H361" s="9"/>
    </row>
    <row r="362" spans="8:8" x14ac:dyDescent="0.15">
      <c r="H362" s="9"/>
    </row>
    <row r="363" spans="8:8" x14ac:dyDescent="0.15">
      <c r="H363" s="9"/>
    </row>
    <row r="364" spans="8:8" x14ac:dyDescent="0.15">
      <c r="H364" s="9"/>
    </row>
    <row r="365" spans="8:8" x14ac:dyDescent="0.15">
      <c r="H365" s="9"/>
    </row>
    <row r="366" spans="8:8" x14ac:dyDescent="0.15">
      <c r="H366" s="9"/>
    </row>
    <row r="367" spans="8:8" x14ac:dyDescent="0.15">
      <c r="H367" s="9"/>
    </row>
    <row r="368" spans="8:8" x14ac:dyDescent="0.15">
      <c r="H368" s="9"/>
    </row>
    <row r="369" spans="8:8" x14ac:dyDescent="0.15">
      <c r="H369" s="9"/>
    </row>
    <row r="370" spans="8:8" x14ac:dyDescent="0.15">
      <c r="H370" s="9"/>
    </row>
    <row r="371" spans="8:8" x14ac:dyDescent="0.15">
      <c r="H371" s="9"/>
    </row>
    <row r="372" spans="8:8" x14ac:dyDescent="0.15">
      <c r="H372" s="9"/>
    </row>
    <row r="373" spans="8:8" x14ac:dyDescent="0.15">
      <c r="H373" s="9"/>
    </row>
    <row r="374" spans="8:8" x14ac:dyDescent="0.15">
      <c r="H374" s="9"/>
    </row>
    <row r="375" spans="8:8" x14ac:dyDescent="0.15">
      <c r="H375" s="9"/>
    </row>
    <row r="376" spans="8:8" x14ac:dyDescent="0.15">
      <c r="H376" s="9"/>
    </row>
    <row r="377" spans="8:8" x14ac:dyDescent="0.15">
      <c r="H377" s="9"/>
    </row>
    <row r="378" spans="8:8" x14ac:dyDescent="0.15">
      <c r="H378" s="9"/>
    </row>
    <row r="379" spans="8:8" x14ac:dyDescent="0.15">
      <c r="H379" s="9"/>
    </row>
    <row r="380" spans="8:8" x14ac:dyDescent="0.15">
      <c r="H380" s="9"/>
    </row>
    <row r="381" spans="8:8" x14ac:dyDescent="0.15">
      <c r="H381" s="9"/>
    </row>
    <row r="382" spans="8:8" x14ac:dyDescent="0.15">
      <c r="H382" s="9"/>
    </row>
    <row r="383" spans="8:8" x14ac:dyDescent="0.15">
      <c r="H383" s="9"/>
    </row>
    <row r="384" spans="8:8" x14ac:dyDescent="0.15">
      <c r="H384" s="9"/>
    </row>
    <row r="385" spans="8:8" x14ac:dyDescent="0.15">
      <c r="H385" s="9"/>
    </row>
    <row r="386" spans="8:8" x14ac:dyDescent="0.15">
      <c r="H386" s="9"/>
    </row>
    <row r="387" spans="8:8" x14ac:dyDescent="0.15">
      <c r="H387" s="9"/>
    </row>
    <row r="388" spans="8:8" x14ac:dyDescent="0.15">
      <c r="H388" s="9"/>
    </row>
    <row r="389" spans="8:8" x14ac:dyDescent="0.15">
      <c r="H389" s="9"/>
    </row>
    <row r="390" spans="8:8" x14ac:dyDescent="0.15">
      <c r="H390" s="9"/>
    </row>
    <row r="391" spans="8:8" x14ac:dyDescent="0.15">
      <c r="H391" s="9"/>
    </row>
    <row r="392" spans="8:8" x14ac:dyDescent="0.15">
      <c r="H392" s="9"/>
    </row>
    <row r="393" spans="8:8" x14ac:dyDescent="0.15">
      <c r="H393" s="9"/>
    </row>
    <row r="394" spans="8:8" x14ac:dyDescent="0.15">
      <c r="H394" s="9"/>
    </row>
    <row r="395" spans="8:8" x14ac:dyDescent="0.15">
      <c r="H395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2026-02-25T01:32:17Z</dcterms:modified>
</cp:coreProperties>
</file>