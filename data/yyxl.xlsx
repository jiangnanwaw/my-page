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177" i="1" l="1"/>
  <c r="C177" i="1"/>
  <c r="G177" i="1"/>
  <c r="F177" i="1"/>
  <c r="E177" i="1"/>
  <c r="D177" i="1"/>
  <c r="H176" i="1"/>
  <c r="G176" i="1"/>
  <c r="F176" i="1"/>
  <c r="E176" i="1"/>
  <c r="D176" i="1"/>
  <c r="C176" i="1"/>
  <c r="H175" i="1" l="1"/>
  <c r="C175" i="1"/>
  <c r="G175" i="1"/>
  <c r="F175" i="1"/>
  <c r="E175" i="1"/>
  <c r="D175" i="1"/>
  <c r="H174" i="1"/>
  <c r="G174" i="1"/>
  <c r="F174" i="1"/>
  <c r="E174" i="1"/>
  <c r="D174" i="1"/>
  <c r="C174" i="1"/>
  <c r="H173" i="1" l="1"/>
  <c r="G173" i="1"/>
  <c r="F173" i="1"/>
  <c r="E173" i="1"/>
  <c r="D173" i="1"/>
  <c r="C173" i="1"/>
  <c r="H172" i="1"/>
  <c r="G172" i="1"/>
  <c r="F172" i="1"/>
  <c r="E172" i="1"/>
  <c r="D172" i="1"/>
  <c r="C172" i="1"/>
  <c r="H167" i="1" l="1"/>
  <c r="G167" i="1"/>
  <c r="F167" i="1"/>
  <c r="E167" i="1"/>
  <c r="D167" i="1"/>
  <c r="C167" i="1"/>
  <c r="H169" i="1"/>
  <c r="G169" i="1"/>
  <c r="F169" i="1"/>
  <c r="E169" i="1"/>
  <c r="D169" i="1"/>
  <c r="C169" i="1"/>
  <c r="H171" i="1"/>
  <c r="G171" i="1"/>
  <c r="F171" i="1"/>
  <c r="E171" i="1"/>
  <c r="D171" i="1"/>
  <c r="C171" i="1"/>
  <c r="H170" i="1"/>
  <c r="G170" i="1"/>
  <c r="F170" i="1"/>
  <c r="E170" i="1"/>
  <c r="D170" i="1"/>
  <c r="C170" i="1"/>
  <c r="H168" i="1"/>
  <c r="G168" i="1"/>
  <c r="F168" i="1"/>
  <c r="E168" i="1"/>
  <c r="D168" i="1"/>
  <c r="C168" i="1"/>
  <c r="H166" i="1"/>
  <c r="G166" i="1"/>
  <c r="F166" i="1"/>
  <c r="E166" i="1"/>
  <c r="D166" i="1"/>
  <c r="C166" i="1"/>
  <c r="H165" i="1" l="1"/>
  <c r="G165" i="1"/>
  <c r="F165" i="1"/>
  <c r="E165" i="1"/>
  <c r="D165" i="1"/>
  <c r="C165" i="1"/>
  <c r="H164" i="1"/>
  <c r="G164" i="1"/>
  <c r="F164" i="1"/>
  <c r="E164" i="1"/>
  <c r="D164" i="1"/>
  <c r="C164" i="1"/>
  <c r="H163" i="1" l="1"/>
  <c r="G163" i="1"/>
  <c r="F163" i="1"/>
  <c r="E163" i="1"/>
  <c r="D163" i="1"/>
  <c r="C163" i="1"/>
  <c r="H162" i="1"/>
  <c r="G162" i="1"/>
  <c r="F162" i="1"/>
  <c r="E162" i="1"/>
  <c r="D162" i="1"/>
  <c r="C162" i="1"/>
  <c r="H161" i="1" l="1"/>
  <c r="G161" i="1"/>
  <c r="F161" i="1"/>
  <c r="E161" i="1"/>
  <c r="D161" i="1"/>
  <c r="C161" i="1"/>
  <c r="H160" i="1"/>
  <c r="G160" i="1"/>
  <c r="F160" i="1"/>
  <c r="E160" i="1"/>
  <c r="D160" i="1"/>
  <c r="C160" i="1"/>
  <c r="H159" i="1" l="1"/>
  <c r="G159" i="1"/>
  <c r="F159" i="1"/>
  <c r="E159" i="1"/>
  <c r="D159" i="1"/>
  <c r="C159" i="1"/>
  <c r="G156" i="1"/>
  <c r="G158" i="1"/>
  <c r="H158" i="1"/>
  <c r="F158" i="1"/>
  <c r="E158" i="1"/>
  <c r="D158" i="1"/>
  <c r="C158" i="1"/>
  <c r="H157" i="1" l="1"/>
  <c r="G157" i="1"/>
  <c r="F157" i="1"/>
  <c r="E157" i="1"/>
  <c r="C157" i="1"/>
  <c r="D157" i="1" s="1"/>
  <c r="H156" i="1"/>
  <c r="F156" i="1"/>
  <c r="E156" i="1"/>
  <c r="D156" i="1"/>
  <c r="C156" i="1"/>
  <c r="H155" i="1" l="1"/>
  <c r="G155" i="1"/>
  <c r="F155" i="1"/>
  <c r="E155" i="1"/>
  <c r="C155" i="1"/>
  <c r="D155" i="1" s="1"/>
  <c r="H154" i="1"/>
  <c r="G154" i="1"/>
  <c r="F154" i="1"/>
  <c r="E154" i="1"/>
  <c r="D154" i="1"/>
  <c r="C154" i="1"/>
  <c r="H153" i="1" l="1"/>
  <c r="G153" i="1"/>
  <c r="F153" i="1"/>
  <c r="E153" i="1"/>
  <c r="C153" i="1"/>
  <c r="D153" i="1" s="1"/>
  <c r="H152" i="1"/>
  <c r="G152" i="1"/>
  <c r="F152" i="1"/>
  <c r="E152" i="1"/>
  <c r="D152" i="1"/>
  <c r="C152" i="1"/>
  <c r="H151" i="1" l="1"/>
  <c r="G151" i="1"/>
  <c r="F151" i="1"/>
  <c r="E151" i="1"/>
  <c r="C151" i="1"/>
  <c r="D151" i="1" s="1"/>
  <c r="H150" i="1"/>
  <c r="G150" i="1"/>
  <c r="F150" i="1"/>
  <c r="E150" i="1"/>
  <c r="C150" i="1"/>
  <c r="D150" i="1" s="1"/>
  <c r="H149" i="1" l="1"/>
  <c r="G149" i="1"/>
  <c r="F149" i="1"/>
  <c r="E149" i="1"/>
  <c r="D149" i="1"/>
  <c r="C149" i="1"/>
  <c r="H148" i="1"/>
  <c r="G148" i="1"/>
  <c r="F148" i="1"/>
  <c r="E148" i="1"/>
  <c r="C148" i="1"/>
  <c r="D148" i="1" s="1"/>
  <c r="H147" i="1" l="1"/>
  <c r="G147" i="1"/>
  <c r="F147" i="1"/>
  <c r="E147" i="1"/>
  <c r="C147" i="1"/>
  <c r="D147" i="1" s="1"/>
  <c r="H146" i="1"/>
  <c r="G146" i="1"/>
  <c r="F146" i="1"/>
  <c r="E146" i="1"/>
  <c r="D146" i="1"/>
  <c r="C146" i="1"/>
  <c r="H145" i="1" l="1"/>
  <c r="G145" i="1"/>
  <c r="F145" i="1"/>
  <c r="E145" i="1"/>
  <c r="D145" i="1"/>
  <c r="C145" i="1"/>
  <c r="H144" i="1"/>
  <c r="G144" i="1"/>
  <c r="F144" i="1"/>
  <c r="E144" i="1"/>
  <c r="C144" i="1"/>
  <c r="D144" i="1" s="1"/>
  <c r="H143" i="1" l="1"/>
  <c r="G143" i="1"/>
  <c r="F143" i="1"/>
  <c r="E143" i="1"/>
  <c r="C143" i="1"/>
  <c r="D143" i="1" s="1"/>
  <c r="H142" i="1"/>
  <c r="G142" i="1"/>
  <c r="F142" i="1"/>
  <c r="E142" i="1"/>
  <c r="C142" i="1"/>
  <c r="D142" i="1" s="1"/>
  <c r="H141" i="1" l="1"/>
  <c r="G141" i="1"/>
  <c r="F141" i="1"/>
  <c r="E141" i="1"/>
  <c r="C141" i="1"/>
  <c r="D141" i="1" s="1"/>
  <c r="H140" i="1"/>
  <c r="G140" i="1"/>
  <c r="F140" i="1"/>
  <c r="E140" i="1"/>
  <c r="C140" i="1"/>
  <c r="D140" i="1" s="1"/>
  <c r="G137" i="1" l="1"/>
  <c r="G139" i="1"/>
  <c r="H139" i="1"/>
  <c r="F139" i="1"/>
  <c r="E139" i="1"/>
  <c r="C139" i="1"/>
  <c r="D139" i="1" s="1"/>
  <c r="H138" i="1"/>
  <c r="G138" i="1"/>
  <c r="F138" i="1"/>
  <c r="E138" i="1"/>
  <c r="D138" i="1"/>
  <c r="C138" i="1"/>
  <c r="H137" i="1" l="1"/>
  <c r="F137" i="1"/>
  <c r="E137" i="1"/>
  <c r="D137" i="1"/>
  <c r="C137" i="1"/>
  <c r="H136" i="1"/>
  <c r="G136" i="1"/>
  <c r="F136" i="1"/>
  <c r="E136" i="1"/>
  <c r="C136" i="1"/>
  <c r="D136" i="1" s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C132" i="1"/>
  <c r="D132" i="1" s="1"/>
  <c r="H131" i="1" l="1"/>
  <c r="G131" i="1"/>
  <c r="F131" i="1"/>
  <c r="E131" i="1"/>
  <c r="C131" i="1"/>
  <c r="D131" i="1" s="1"/>
  <c r="C124" i="1"/>
  <c r="H130" i="1"/>
  <c r="G130" i="1"/>
  <c r="F130" i="1"/>
  <c r="E130" i="1"/>
  <c r="D130" i="1"/>
  <c r="C130" i="1"/>
  <c r="H129" i="1" l="1"/>
  <c r="G129" i="1"/>
  <c r="F129" i="1"/>
  <c r="E129" i="1"/>
  <c r="C129" i="1"/>
  <c r="D129" i="1" s="1"/>
  <c r="H128" i="1"/>
  <c r="G128" i="1"/>
  <c r="F128" i="1"/>
  <c r="E128" i="1"/>
  <c r="C128" i="1"/>
  <c r="D128" i="1" s="1"/>
  <c r="H127" i="1" l="1"/>
  <c r="G127" i="1"/>
  <c r="F127" i="1"/>
  <c r="E127" i="1"/>
  <c r="C127" i="1"/>
  <c r="D127" i="1" s="1"/>
  <c r="H126" i="1"/>
  <c r="C126" i="1"/>
  <c r="D126" i="1" s="1"/>
  <c r="G126" i="1"/>
  <c r="F126" i="1"/>
  <c r="E126" i="1"/>
  <c r="H125" i="1" l="1"/>
  <c r="G125" i="1"/>
  <c r="F125" i="1"/>
  <c r="E125" i="1"/>
  <c r="C125" i="1"/>
  <c r="D125" i="1" s="1"/>
  <c r="H124" i="1"/>
  <c r="G124" i="1"/>
  <c r="F124" i="1"/>
  <c r="E124" i="1"/>
  <c r="D124" i="1"/>
  <c r="H123" i="1" l="1"/>
  <c r="G123" i="1"/>
  <c r="F123" i="1"/>
  <c r="E123" i="1"/>
  <c r="C123" i="1"/>
  <c r="D123" i="1" s="1"/>
  <c r="H122" i="1"/>
  <c r="G122" i="1"/>
  <c r="F122" i="1"/>
  <c r="E122" i="1"/>
  <c r="C122" i="1"/>
  <c r="D122" i="1" s="1"/>
  <c r="H121" i="1" l="1"/>
  <c r="G121" i="1"/>
  <c r="F121" i="1"/>
  <c r="E121" i="1"/>
  <c r="C121" i="1"/>
  <c r="D121" i="1" s="1"/>
  <c r="H120" i="1"/>
  <c r="G120" i="1"/>
  <c r="F120" i="1"/>
  <c r="E120" i="1"/>
  <c r="C120" i="1"/>
  <c r="D120" i="1" s="1"/>
  <c r="H119" i="1" l="1"/>
  <c r="G119" i="1"/>
  <c r="F119" i="1"/>
  <c r="E119" i="1"/>
  <c r="C119" i="1"/>
  <c r="D119" i="1" s="1"/>
  <c r="H118" i="1"/>
  <c r="G118" i="1"/>
  <c r="F118" i="1"/>
  <c r="E118" i="1"/>
  <c r="C118" i="1"/>
  <c r="D118" i="1" s="1"/>
  <c r="H117" i="1" l="1"/>
  <c r="G117" i="1"/>
  <c r="F117" i="1"/>
  <c r="E117" i="1"/>
  <c r="C117" i="1"/>
  <c r="D117" i="1" s="1"/>
  <c r="H116" i="1"/>
  <c r="G116" i="1"/>
  <c r="F116" i="1"/>
  <c r="E116" i="1"/>
  <c r="C116" i="1"/>
  <c r="D116" i="1" s="1"/>
  <c r="H115" i="1" l="1"/>
  <c r="G115" i="1"/>
  <c r="F115" i="1"/>
  <c r="E115" i="1"/>
  <c r="C115" i="1"/>
  <c r="D115" i="1" s="1"/>
  <c r="H114" i="1"/>
  <c r="G114" i="1"/>
  <c r="F114" i="1"/>
  <c r="E114" i="1"/>
  <c r="C114" i="1"/>
  <c r="D114" i="1" s="1"/>
  <c r="H113" i="1" l="1"/>
  <c r="G113" i="1"/>
  <c r="F113" i="1"/>
  <c r="E113" i="1"/>
  <c r="C113" i="1"/>
  <c r="D113" i="1" s="1"/>
  <c r="H112" i="1"/>
  <c r="G112" i="1"/>
  <c r="F112" i="1"/>
  <c r="E112" i="1"/>
  <c r="C112" i="1"/>
  <c r="D112" i="1" s="1"/>
  <c r="H111" i="1" l="1"/>
  <c r="G111" i="1"/>
  <c r="E111" i="1"/>
  <c r="F111" i="1"/>
  <c r="C111" i="1"/>
  <c r="D111" i="1" s="1"/>
  <c r="H110" i="1"/>
  <c r="G110" i="1"/>
  <c r="F110" i="1"/>
  <c r="E110" i="1"/>
  <c r="C110" i="1"/>
  <c r="D110" i="1" s="1"/>
  <c r="H109" i="1" l="1"/>
  <c r="G109" i="1"/>
  <c r="F109" i="1"/>
  <c r="E109" i="1"/>
  <c r="C109" i="1"/>
  <c r="D109" i="1" s="1"/>
  <c r="H108" i="1"/>
  <c r="G108" i="1"/>
  <c r="F108" i="1"/>
  <c r="E108" i="1"/>
  <c r="C108" i="1"/>
  <c r="D108" i="1" s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C106" i="1"/>
  <c r="D106" i="1" s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C103" i="1"/>
  <c r="D103" i="1" s="1"/>
  <c r="H102" i="1"/>
  <c r="G102" i="1"/>
  <c r="F102" i="1"/>
  <c r="E102" i="1"/>
  <c r="D102" i="1"/>
  <c r="C102" i="1"/>
  <c r="H101" i="1" l="1"/>
  <c r="G101" i="1"/>
  <c r="F101" i="1"/>
  <c r="E101" i="1"/>
  <c r="C101" i="1"/>
  <c r="D101" i="1" s="1"/>
  <c r="H100" i="1"/>
  <c r="G100" i="1"/>
  <c r="F100" i="1"/>
  <c r="E100" i="1"/>
  <c r="C100" i="1"/>
  <c r="D100" i="1" s="1"/>
  <c r="H99" i="1" l="1"/>
  <c r="F99" i="1"/>
  <c r="E99" i="1"/>
  <c r="D99" i="1"/>
  <c r="C97" i="1"/>
  <c r="C99" i="1"/>
  <c r="H98" i="1"/>
  <c r="G98" i="1"/>
  <c r="F98" i="1"/>
  <c r="E98" i="1"/>
  <c r="C98" i="1"/>
  <c r="D98" i="1" s="1"/>
  <c r="H97" i="1" l="1"/>
  <c r="G97" i="1"/>
  <c r="F97" i="1"/>
  <c r="E97" i="1"/>
  <c r="D97" i="1"/>
  <c r="H96" i="1"/>
  <c r="G96" i="1"/>
  <c r="F96" i="1"/>
  <c r="E96" i="1"/>
  <c r="C96" i="1"/>
  <c r="D96" i="1" s="1"/>
  <c r="H95" i="1" l="1"/>
  <c r="G95" i="1"/>
  <c r="F95" i="1"/>
  <c r="E95" i="1"/>
  <c r="C95" i="1"/>
  <c r="D95" i="1" s="1"/>
  <c r="H94" i="1"/>
  <c r="G94" i="1"/>
  <c r="F94" i="1"/>
  <c r="E94" i="1"/>
  <c r="C94" i="1"/>
  <c r="D94" i="1" s="1"/>
  <c r="H93" i="1" l="1"/>
  <c r="G93" i="1"/>
  <c r="F93" i="1"/>
  <c r="E93" i="1"/>
  <c r="C93" i="1"/>
  <c r="D93" i="1" s="1"/>
  <c r="H92" i="1"/>
  <c r="G92" i="1"/>
  <c r="F92" i="1"/>
  <c r="E92" i="1"/>
  <c r="D92" i="1"/>
  <c r="C92" i="1"/>
  <c r="H91" i="1" l="1"/>
  <c r="G91" i="1"/>
  <c r="F91" i="1"/>
  <c r="E91" i="1"/>
  <c r="C91" i="1"/>
  <c r="D91" i="1" s="1"/>
  <c r="H90" i="1"/>
  <c r="G90" i="1"/>
  <c r="F90" i="1"/>
  <c r="E90" i="1"/>
  <c r="C90" i="1"/>
  <c r="D90" i="1" s="1"/>
  <c r="H89" i="1" l="1"/>
  <c r="G89" i="1"/>
  <c r="F89" i="1"/>
  <c r="E89" i="1"/>
  <c r="C89" i="1"/>
  <c r="D89" i="1" s="1"/>
  <c r="H88" i="1"/>
  <c r="G88" i="1"/>
  <c r="F88" i="1"/>
  <c r="E88" i="1"/>
  <c r="C88" i="1"/>
  <c r="D88" i="1" s="1"/>
  <c r="H86" i="1" l="1"/>
  <c r="G86" i="1"/>
  <c r="F86" i="1"/>
  <c r="E86" i="1"/>
  <c r="C86" i="1"/>
  <c r="D86" i="1" s="1"/>
  <c r="H87" i="1"/>
  <c r="G87" i="1"/>
  <c r="F87" i="1"/>
  <c r="E87" i="1"/>
  <c r="C87" i="1"/>
  <c r="D87" i="1" s="1"/>
  <c r="G84" i="1" l="1"/>
  <c r="H84" i="1"/>
  <c r="F84" i="1"/>
  <c r="E84" i="1"/>
  <c r="C84" i="1"/>
  <c r="D84" i="1" s="1"/>
  <c r="H85" i="1"/>
  <c r="E85" i="1"/>
  <c r="G85" i="1"/>
  <c r="F85" i="1"/>
  <c r="C85" i="1"/>
  <c r="D85" i="1" s="1"/>
  <c r="G82" i="1" l="1"/>
  <c r="F82" i="1"/>
  <c r="E82" i="1"/>
  <c r="D82" i="1"/>
  <c r="C82" i="1"/>
  <c r="H83" i="1"/>
  <c r="G83" i="1"/>
  <c r="F83" i="1"/>
  <c r="E83" i="1"/>
  <c r="C83" i="1"/>
  <c r="D83" i="1" s="1"/>
  <c r="H81" i="1" l="1"/>
  <c r="G81" i="1"/>
  <c r="F81" i="1"/>
  <c r="E81" i="1"/>
  <c r="C81" i="1"/>
  <c r="D81" i="1" s="1"/>
  <c r="H80" i="1"/>
  <c r="G80" i="1"/>
  <c r="F80" i="1"/>
  <c r="E80" i="1"/>
  <c r="D80" i="1"/>
  <c r="C80" i="1"/>
  <c r="H78" i="1"/>
  <c r="G78" i="1"/>
  <c r="F78" i="1"/>
  <c r="E78" i="1"/>
  <c r="C78" i="1"/>
  <c r="D78" i="1" s="1"/>
  <c r="H79" i="1"/>
  <c r="G79" i="1"/>
  <c r="F79" i="1"/>
  <c r="E79" i="1"/>
  <c r="D79" i="1"/>
  <c r="C79" i="1"/>
  <c r="H77" i="1" l="1"/>
  <c r="G77" i="1"/>
  <c r="F77" i="1"/>
  <c r="E77" i="1"/>
  <c r="C77" i="1"/>
  <c r="D77" i="1" s="1"/>
  <c r="H76" i="1"/>
  <c r="G76" i="1"/>
  <c r="F76" i="1"/>
  <c r="E76" i="1"/>
  <c r="C76" i="1"/>
  <c r="D76" i="1" s="1"/>
  <c r="C74" i="1" l="1"/>
  <c r="G74" i="1"/>
  <c r="F74" i="1"/>
  <c r="E74" i="1"/>
  <c r="D74" i="1"/>
  <c r="H75" i="1"/>
  <c r="G75" i="1"/>
  <c r="F75" i="1"/>
  <c r="E75" i="1"/>
  <c r="C75" i="1"/>
  <c r="D75" i="1" s="1"/>
  <c r="H72" i="1" l="1"/>
  <c r="G72" i="1"/>
  <c r="F72" i="1"/>
  <c r="E72" i="1"/>
  <c r="C72" i="1"/>
  <c r="D72" i="1" s="1"/>
  <c r="H73" i="1"/>
  <c r="G73" i="1"/>
  <c r="F73" i="1"/>
  <c r="E73" i="1"/>
  <c r="C73" i="1"/>
  <c r="D73" i="1" s="1"/>
  <c r="H71" i="1" l="1"/>
  <c r="G71" i="1"/>
  <c r="F71" i="1"/>
  <c r="E71" i="1"/>
  <c r="D70" i="1"/>
  <c r="C71" i="1"/>
  <c r="D71" i="1" s="1"/>
  <c r="H70" i="1"/>
  <c r="G70" i="1"/>
  <c r="F70" i="1"/>
  <c r="E70" i="1"/>
  <c r="C70" i="1"/>
  <c r="H69" i="1" l="1"/>
  <c r="G69" i="1"/>
  <c r="F69" i="1"/>
  <c r="E69" i="1"/>
  <c r="C69" i="1"/>
  <c r="D69" i="1" s="1"/>
  <c r="H68" i="1"/>
  <c r="G68" i="1"/>
  <c r="F68" i="1"/>
  <c r="E68" i="1"/>
  <c r="C68" i="1"/>
  <c r="D68" i="1" s="1"/>
  <c r="H66" i="1" l="1"/>
  <c r="G66" i="1"/>
  <c r="F66" i="1"/>
  <c r="E66" i="1"/>
  <c r="C64" i="1"/>
  <c r="C65" i="1"/>
  <c r="C66" i="1"/>
  <c r="D66" i="1" s="1"/>
  <c r="H67" i="1"/>
  <c r="G67" i="1"/>
  <c r="F67" i="1"/>
  <c r="E67" i="1"/>
  <c r="C67" i="1"/>
  <c r="D67" i="1" s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C63" i="1"/>
  <c r="D63" i="1" s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C60" i="1"/>
  <c r="D60" i="1" s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C59" i="1"/>
  <c r="D59" i="1" s="1"/>
  <c r="H57" i="1" l="1"/>
  <c r="G56" i="1"/>
  <c r="F57" i="1"/>
  <c r="F56" i="1"/>
  <c r="D57" i="1"/>
  <c r="H56" i="1"/>
  <c r="C56" i="1"/>
  <c r="D56" i="1" s="1"/>
</calcChain>
</file>

<file path=xl/sharedStrings.xml><?xml version="1.0" encoding="utf-8"?>
<sst xmlns="http://schemas.openxmlformats.org/spreadsheetml/2006/main" count="207" uniqueCount="28">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</sst>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177"/>
  <sheetViews>
    <sheetView tabSelected="1" topLeftCell="A169" workbookViewId="0">
      <selection activeCell="J179" sqref="J179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 t="shared" ref="D136:D141" si="13"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 t="shared" si="13"/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 t="shared" si="13"/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 t="shared" si="13"/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  <row r="140" spans="1:8" x14ac:dyDescent="0.15">
      <c r="A140" s="1">
        <v>45970</v>
      </c>
      <c r="B140" t="s">
        <v>2</v>
      </c>
      <c r="C140" s="5">
        <f>18286/126</f>
        <v>145.12698412698413</v>
      </c>
      <c r="D140" s="4">
        <f t="shared" si="13"/>
        <v>0.10078262786596121</v>
      </c>
      <c r="E140" s="5">
        <f>10063.49/126</f>
        <v>79.868968253968248</v>
      </c>
      <c r="F140" s="5">
        <f>3279.8/126</f>
        <v>26.030158730158732</v>
      </c>
      <c r="G140" s="5">
        <f>10063.49/(18286/60)</f>
        <v>33.02031062014656</v>
      </c>
      <c r="H140" s="5">
        <f>415/126</f>
        <v>3.2936507936507935</v>
      </c>
    </row>
    <row r="141" spans="1:8" x14ac:dyDescent="0.15">
      <c r="A141" s="1">
        <v>45970</v>
      </c>
      <c r="B141" t="s">
        <v>3</v>
      </c>
      <c r="C141" s="5">
        <f>6150/36</f>
        <v>170.83333333333334</v>
      </c>
      <c r="D141" s="4">
        <f t="shared" si="13"/>
        <v>0.11863425925925927</v>
      </c>
      <c r="E141" s="5">
        <f>4260.7/36</f>
        <v>118.35277777777777</v>
      </c>
      <c r="F141" s="5">
        <f>1136.31/36</f>
        <v>31.564166666666665</v>
      </c>
      <c r="G141" s="5">
        <f>4260.7/(6150/60)</f>
        <v>41.567804878048776</v>
      </c>
      <c r="H141" s="5">
        <f>140/36</f>
        <v>3.8888888888888888</v>
      </c>
    </row>
    <row r="142" spans="1:8" x14ac:dyDescent="0.15">
      <c r="A142" s="1">
        <v>45971</v>
      </c>
      <c r="B142" t="s">
        <v>2</v>
      </c>
      <c r="C142" s="5">
        <f>20127/126</f>
        <v>159.73809523809524</v>
      </c>
      <c r="D142" s="4">
        <f t="shared" ref="D142:D147" si="14">C142/(24*60)</f>
        <v>0.11092923280423281</v>
      </c>
      <c r="E142" s="5">
        <f>10798.15/126</f>
        <v>85.699603174603169</v>
      </c>
      <c r="F142" s="5">
        <f>3568.03/126</f>
        <v>28.317698412698416</v>
      </c>
      <c r="G142" s="5">
        <f>10798.15/(20127/60)</f>
        <v>32.190043225517961</v>
      </c>
      <c r="H142" s="5">
        <f>441/126</f>
        <v>3.5</v>
      </c>
    </row>
    <row r="143" spans="1:8" x14ac:dyDescent="0.15">
      <c r="A143" s="1">
        <v>45971</v>
      </c>
      <c r="B143" t="s">
        <v>3</v>
      </c>
      <c r="C143" s="5">
        <f>6879/36</f>
        <v>191.08333333333334</v>
      </c>
      <c r="D143" s="4">
        <f t="shared" si="14"/>
        <v>0.13269675925925928</v>
      </c>
      <c r="E143" s="5">
        <f>4554.88/36</f>
        <v>126.52444444444444</v>
      </c>
      <c r="F143" s="5">
        <f>1219.25/36</f>
        <v>33.868055555555557</v>
      </c>
      <c r="G143" s="5">
        <f>4554.88/(6879/60)</f>
        <v>39.728565198430005</v>
      </c>
      <c r="H143" s="5">
        <f>167/36</f>
        <v>4.6388888888888893</v>
      </c>
    </row>
    <row r="144" spans="1:8" x14ac:dyDescent="0.15">
      <c r="A144" s="1">
        <v>45972</v>
      </c>
      <c r="B144" t="s">
        <v>2</v>
      </c>
      <c r="C144" s="5">
        <f>17013/126</f>
        <v>135.02380952380952</v>
      </c>
      <c r="D144" s="4">
        <f t="shared" si="14"/>
        <v>9.3766534391534387E-2</v>
      </c>
      <c r="E144" s="5">
        <f>8716.41/126</f>
        <v>69.177857142857135</v>
      </c>
      <c r="F144" s="5">
        <f>2990.34/126</f>
        <v>23.732857142857146</v>
      </c>
      <c r="G144" s="5">
        <f>8716.41/(17013/60)</f>
        <v>30.740292717333801</v>
      </c>
      <c r="H144" s="5">
        <f>378/126</f>
        <v>3</v>
      </c>
    </row>
    <row r="145" spans="1:8" x14ac:dyDescent="0.15">
      <c r="A145" s="1">
        <v>45972</v>
      </c>
      <c r="B145" t="s">
        <v>3</v>
      </c>
      <c r="C145" s="5">
        <f>5873/36</f>
        <v>163.13888888888889</v>
      </c>
      <c r="D145" s="4">
        <f t="shared" si="14"/>
        <v>0.11329089506172839</v>
      </c>
      <c r="E145" s="5">
        <f>4125.06/36</f>
        <v>114.58500000000001</v>
      </c>
      <c r="F145" s="5">
        <f>1140.66/36</f>
        <v>31.685000000000002</v>
      </c>
      <c r="G145" s="5">
        <f>4125.06/(5873/60)</f>
        <v>42.142618763834498</v>
      </c>
      <c r="H145" s="5">
        <f>166/36</f>
        <v>4.6111111111111107</v>
      </c>
    </row>
    <row r="146" spans="1:8" x14ac:dyDescent="0.15">
      <c r="A146" s="1">
        <v>45973</v>
      </c>
      <c r="B146" t="s">
        <v>2</v>
      </c>
      <c r="C146" s="5">
        <f>16053/126</f>
        <v>127.4047619047619</v>
      </c>
      <c r="D146" s="4">
        <f t="shared" si="14"/>
        <v>8.8475529100529096E-2</v>
      </c>
      <c r="E146" s="5">
        <f>8365.93/126</f>
        <v>66.396269841269842</v>
      </c>
      <c r="F146" s="5">
        <f>2768.53/126</f>
        <v>21.972460317460317</v>
      </c>
      <c r="G146" s="5">
        <f>8365.93/(16053/60)</f>
        <v>31.268660063539524</v>
      </c>
      <c r="H146" s="5">
        <f>353/126</f>
        <v>2.8015873015873014</v>
      </c>
    </row>
    <row r="147" spans="1:8" x14ac:dyDescent="0.15">
      <c r="A147" s="1">
        <v>45973</v>
      </c>
      <c r="B147" t="s">
        <v>3</v>
      </c>
      <c r="C147" s="5">
        <f>6740/36</f>
        <v>187.22222222222223</v>
      </c>
      <c r="D147" s="4">
        <f t="shared" si="14"/>
        <v>0.13001543209876543</v>
      </c>
      <c r="E147" s="5">
        <f>4569.6/36</f>
        <v>126.93333333333334</v>
      </c>
      <c r="F147" s="5">
        <f>1142.5/36</f>
        <v>31.736111111111111</v>
      </c>
      <c r="G147" s="5">
        <f>4569.3/(6740/60)</f>
        <v>40.67626112759644</v>
      </c>
      <c r="H147" s="5">
        <f>162/36</f>
        <v>4.5</v>
      </c>
    </row>
    <row r="148" spans="1:8" x14ac:dyDescent="0.15">
      <c r="A148" s="1">
        <v>45974</v>
      </c>
      <c r="B148" t="s">
        <v>2</v>
      </c>
      <c r="C148" s="5">
        <f>16074/126</f>
        <v>127.57142857142857</v>
      </c>
      <c r="D148" s="4">
        <f t="shared" ref="D148:D153" si="15">C148/(24*60)</f>
        <v>8.8591269841269846E-2</v>
      </c>
      <c r="E148" s="5">
        <f>8540.36/126</f>
        <v>67.780634920634924</v>
      </c>
      <c r="F148" s="5">
        <f>2855.21/126</f>
        <v>22.660396825396827</v>
      </c>
      <c r="G148" s="5">
        <f>8540.36/(16074/60)</f>
        <v>31.878910041060102</v>
      </c>
      <c r="H148" s="5">
        <f>369/126</f>
        <v>2.9285714285714284</v>
      </c>
    </row>
    <row r="149" spans="1:8" x14ac:dyDescent="0.15">
      <c r="A149" s="1">
        <v>45974</v>
      </c>
      <c r="B149" t="s">
        <v>3</v>
      </c>
      <c r="C149" s="5">
        <f>5877/36</f>
        <v>163.25</v>
      </c>
      <c r="D149" s="4">
        <f t="shared" si="15"/>
        <v>0.11336805555555556</v>
      </c>
      <c r="E149" s="5">
        <f>4197.05/36</f>
        <v>116.58472222222223</v>
      </c>
      <c r="F149" s="5">
        <f>1070.23/36</f>
        <v>29.72861111111111</v>
      </c>
      <c r="G149" s="5">
        <f>4197.05/(5877/60)</f>
        <v>42.848902501276164</v>
      </c>
      <c r="H149" s="5">
        <f>154/36</f>
        <v>4.2777777777777777</v>
      </c>
    </row>
    <row r="150" spans="1:8" x14ac:dyDescent="0.15">
      <c r="A150" s="1">
        <v>45975</v>
      </c>
      <c r="B150" t="s">
        <v>2</v>
      </c>
      <c r="C150" s="5">
        <f>16816/126</f>
        <v>133.46031746031747</v>
      </c>
      <c r="D150" s="4">
        <f t="shared" si="15"/>
        <v>9.2680776014109359E-2</v>
      </c>
      <c r="E150" s="5">
        <f>9179.99/126</f>
        <v>72.857063492063489</v>
      </c>
      <c r="F150" s="5">
        <f>3068.72/126</f>
        <v>24.354920634920635</v>
      </c>
      <c r="G150" s="5">
        <f>9179.99/(16816/60)</f>
        <v>32.754483824928641</v>
      </c>
      <c r="H150" s="5">
        <f>380/126</f>
        <v>3.0158730158730158</v>
      </c>
    </row>
    <row r="151" spans="1:8" x14ac:dyDescent="0.15">
      <c r="A151" s="1">
        <v>45975</v>
      </c>
      <c r="B151" t="s">
        <v>3</v>
      </c>
      <c r="C151" s="5">
        <f>6253/36</f>
        <v>173.69444444444446</v>
      </c>
      <c r="D151" s="4">
        <f t="shared" si="15"/>
        <v>0.12062114197530865</v>
      </c>
      <c r="E151" s="5">
        <f>4566.62/36</f>
        <v>126.85055555555556</v>
      </c>
      <c r="F151" s="5">
        <f>1188.81/36</f>
        <v>33.022500000000001</v>
      </c>
      <c r="G151" s="5">
        <f>4566.62/(6253/60)</f>
        <v>43.818519110826799</v>
      </c>
      <c r="H151" s="5">
        <f>159/36</f>
        <v>4.416666666666667</v>
      </c>
    </row>
    <row r="152" spans="1:8" x14ac:dyDescent="0.15">
      <c r="A152" s="1">
        <v>45976</v>
      </c>
      <c r="B152" t="s">
        <v>2</v>
      </c>
      <c r="C152" s="5">
        <f>16483/126</f>
        <v>130.81746031746033</v>
      </c>
      <c r="D152" s="4">
        <f t="shared" si="15"/>
        <v>9.0845458553791891E-2</v>
      </c>
      <c r="E152" s="5">
        <f>9342.76/126</f>
        <v>74.148888888888891</v>
      </c>
      <c r="F152" s="5">
        <f>3054.69/126</f>
        <v>24.243571428571428</v>
      </c>
      <c r="G152" s="5">
        <f>9342.76/(16483/60)</f>
        <v>34.008712006309537</v>
      </c>
      <c r="H152" s="5">
        <f>384/126</f>
        <v>3.0476190476190474</v>
      </c>
    </row>
    <row r="153" spans="1:8" x14ac:dyDescent="0.15">
      <c r="A153" s="1">
        <v>45976</v>
      </c>
      <c r="B153" t="s">
        <v>3</v>
      </c>
      <c r="C153" s="5">
        <f>5773/36</f>
        <v>160.36111111111111</v>
      </c>
      <c r="D153" s="4">
        <f t="shared" si="15"/>
        <v>0.11136188271604938</v>
      </c>
      <c r="E153" s="5">
        <f>4114.2/36</f>
        <v>114.28333333333333</v>
      </c>
      <c r="F153" s="5">
        <f>1041.86/36</f>
        <v>28.940555555555552</v>
      </c>
      <c r="G153" s="5">
        <f>4114.2/(5773/60)</f>
        <v>42.759743634159015</v>
      </c>
      <c r="H153" s="5">
        <f>147/36</f>
        <v>4.083333333333333</v>
      </c>
    </row>
    <row r="154" spans="1:8" x14ac:dyDescent="0.15">
      <c r="A154" s="1">
        <v>45977</v>
      </c>
      <c r="B154" t="s">
        <v>2</v>
      </c>
      <c r="C154" s="5">
        <f>15605/126</f>
        <v>123.84920634920636</v>
      </c>
      <c r="D154" s="4">
        <f t="shared" ref="D154:D159" si="16">C154/(24*60)</f>
        <v>8.6006393298059966E-2</v>
      </c>
      <c r="E154" s="5">
        <f>8750.49/126</f>
        <v>69.448333333333338</v>
      </c>
      <c r="F154" s="5">
        <f>2845.94/126</f>
        <v>22.586825396825397</v>
      </c>
      <c r="G154" s="5">
        <f>8750.49/(15605/60)</f>
        <v>33.644947132329385</v>
      </c>
      <c r="H154" s="5">
        <f>360/126</f>
        <v>2.8571428571428572</v>
      </c>
    </row>
    <row r="155" spans="1:8" x14ac:dyDescent="0.15">
      <c r="A155" s="1">
        <v>45977</v>
      </c>
      <c r="B155" t="s">
        <v>3</v>
      </c>
      <c r="C155" s="5">
        <f>6392/36</f>
        <v>177.55555555555554</v>
      </c>
      <c r="D155" s="4">
        <f t="shared" si="16"/>
        <v>0.12330246913580246</v>
      </c>
      <c r="E155" s="5">
        <f>4541.23/36</f>
        <v>126.14527777777776</v>
      </c>
      <c r="F155" s="5">
        <f>1110/36</f>
        <v>30.833333333333332</v>
      </c>
      <c r="G155" s="5">
        <f>4541.23/(6392/60)</f>
        <v>42.6273153942428</v>
      </c>
      <c r="H155" s="5">
        <f>155/36</f>
        <v>4.3055555555555554</v>
      </c>
    </row>
    <row r="156" spans="1:8" x14ac:dyDescent="0.15">
      <c r="A156" s="1">
        <v>45978</v>
      </c>
      <c r="B156" t="s">
        <v>2</v>
      </c>
      <c r="C156" s="5">
        <f>17440/126</f>
        <v>138.4126984126984</v>
      </c>
      <c r="D156" s="4">
        <f t="shared" si="16"/>
        <v>9.6119929453262781E-2</v>
      </c>
      <c r="E156" s="5">
        <f>9597.15/126</f>
        <v>76.167857142857144</v>
      </c>
      <c r="F156" s="5">
        <f>3109.43/126</f>
        <v>24.678015873015873</v>
      </c>
      <c r="G156" s="5">
        <f>9597.15/(17440/60)</f>
        <v>33.017717889908255</v>
      </c>
      <c r="H156" s="5">
        <f>397/126</f>
        <v>3.1507936507936507</v>
      </c>
    </row>
    <row r="157" spans="1:8" x14ac:dyDescent="0.15">
      <c r="A157" s="1">
        <v>45978</v>
      </c>
      <c r="B157" t="s">
        <v>3</v>
      </c>
      <c r="C157" s="5">
        <f>7072/36</f>
        <v>196.44444444444446</v>
      </c>
      <c r="D157" s="4">
        <f t="shared" si="16"/>
        <v>0.13641975308641976</v>
      </c>
      <c r="E157" s="5">
        <f>4848.63/36</f>
        <v>134.68416666666667</v>
      </c>
      <c r="F157" s="5">
        <f>1240.82/36</f>
        <v>34.467222222222219</v>
      </c>
      <c r="G157" s="5">
        <f>4848.63/(7072/60)</f>
        <v>41.136566742081449</v>
      </c>
      <c r="H157" s="5">
        <f>175/36</f>
        <v>4.8611111111111107</v>
      </c>
    </row>
    <row r="158" spans="1:8" x14ac:dyDescent="0.15">
      <c r="A158" s="1">
        <v>45979</v>
      </c>
      <c r="B158" t="s">
        <v>2</v>
      </c>
      <c r="C158" s="5">
        <f>20257/126</f>
        <v>160.76984126984127</v>
      </c>
      <c r="D158" s="4">
        <f t="shared" si="16"/>
        <v>0.11164572310405643</v>
      </c>
      <c r="E158" s="5">
        <f>9993.93/126</f>
        <v>79.316904761904766</v>
      </c>
      <c r="F158" s="5">
        <f>3294.21/126</f>
        <v>26.144523809523811</v>
      </c>
      <c r="G158" s="5">
        <f>9993.93/(20257/60)</f>
        <v>29.601411857629461</v>
      </c>
      <c r="H158" s="5">
        <f>410/126</f>
        <v>3.253968253968254</v>
      </c>
    </row>
    <row r="159" spans="1:8" x14ac:dyDescent="0.15">
      <c r="A159" s="1">
        <v>45979</v>
      </c>
      <c r="B159" t="s">
        <v>3</v>
      </c>
      <c r="C159" s="5">
        <f>8892/36</f>
        <v>247</v>
      </c>
      <c r="D159" s="4">
        <f t="shared" si="16"/>
        <v>0.17152777777777778</v>
      </c>
      <c r="E159" s="5">
        <f>5793.18/36</f>
        <v>160.92166666666668</v>
      </c>
      <c r="F159" s="5">
        <f>1547.65/36</f>
        <v>42.990277777777777</v>
      </c>
      <c r="G159" s="5">
        <f>5793.18/(8892/60)</f>
        <v>39.090283400809724</v>
      </c>
      <c r="H159" s="5">
        <f>212/36</f>
        <v>5.8888888888888893</v>
      </c>
    </row>
    <row r="160" spans="1:8" x14ac:dyDescent="0.15">
      <c r="A160" s="1">
        <v>45980</v>
      </c>
      <c r="B160" t="s">
        <v>2</v>
      </c>
      <c r="C160" s="5">
        <f>17192/126</f>
        <v>136.44444444444446</v>
      </c>
      <c r="D160" s="4">
        <f t="shared" ref="D160:D165" si="17">C160/(24*60)</f>
        <v>9.4753086419753094E-2</v>
      </c>
      <c r="E160" s="5">
        <f>9131.59/126</f>
        <v>72.47293650793651</v>
      </c>
      <c r="F160" s="5">
        <f>3039.16/126</f>
        <v>24.120317460317459</v>
      </c>
      <c r="G160" s="5">
        <f>9131.59/(17192/60)</f>
        <v>31.869206607724522</v>
      </c>
      <c r="H160" s="5">
        <f>383/126</f>
        <v>3.0396825396825395</v>
      </c>
    </row>
    <row r="161" spans="1:8" x14ac:dyDescent="0.15">
      <c r="A161" s="1">
        <v>45980</v>
      </c>
      <c r="B161" t="s">
        <v>3</v>
      </c>
      <c r="C161" s="5">
        <f>7739/36</f>
        <v>214.97222222222223</v>
      </c>
      <c r="D161" s="4">
        <f t="shared" si="17"/>
        <v>0.14928626543209877</v>
      </c>
      <c r="E161" s="5">
        <f>4902.33/36</f>
        <v>136.17583333333334</v>
      </c>
      <c r="F161" s="5">
        <f>4410.03/36</f>
        <v>122.50083333333333</v>
      </c>
      <c r="G161" s="5">
        <f>4902.33/(7739/60)</f>
        <v>38.007468665202225</v>
      </c>
      <c r="H161" s="5">
        <f>181/36</f>
        <v>5.0277777777777777</v>
      </c>
    </row>
    <row r="162" spans="1:8" x14ac:dyDescent="0.15">
      <c r="A162" s="1">
        <v>45981</v>
      </c>
      <c r="B162" t="s">
        <v>2</v>
      </c>
      <c r="C162" s="5">
        <f>18163/126</f>
        <v>144.15079365079364</v>
      </c>
      <c r="D162" s="4">
        <f t="shared" si="17"/>
        <v>0.10010471781305114</v>
      </c>
      <c r="E162" s="5">
        <f>9341.08/126</f>
        <v>74.135555555555555</v>
      </c>
      <c r="F162" s="5">
        <f>3132.18/126</f>
        <v>24.858571428571427</v>
      </c>
      <c r="G162" s="5">
        <f>9341.08/(18163/60)</f>
        <v>30.85750151406706</v>
      </c>
      <c r="H162" s="5">
        <f>404/126</f>
        <v>3.2063492063492065</v>
      </c>
    </row>
    <row r="163" spans="1:8" x14ac:dyDescent="0.15">
      <c r="A163" s="1">
        <v>45981</v>
      </c>
      <c r="B163" t="s">
        <v>3</v>
      </c>
      <c r="C163" s="5">
        <f>6052/36</f>
        <v>168.11111111111111</v>
      </c>
      <c r="D163" s="4">
        <f t="shared" si="17"/>
        <v>0.11674382716049383</v>
      </c>
      <c r="E163" s="5">
        <f>4084.06/36</f>
        <v>113.44611111111111</v>
      </c>
      <c r="F163" s="5">
        <f>1024.14/36</f>
        <v>28.448333333333338</v>
      </c>
      <c r="G163" s="5">
        <f>4084.06/(6052/60)</f>
        <v>40.489689358889628</v>
      </c>
      <c r="H163" s="5">
        <f>146/36</f>
        <v>4.0555555555555554</v>
      </c>
    </row>
    <row r="164" spans="1:8" x14ac:dyDescent="0.15">
      <c r="A164" s="1">
        <v>45982</v>
      </c>
      <c r="B164" t="s">
        <v>2</v>
      </c>
      <c r="C164" s="5">
        <f>18603/126</f>
        <v>147.64285714285714</v>
      </c>
      <c r="D164" s="4">
        <f t="shared" si="17"/>
        <v>0.1025297619047619</v>
      </c>
      <c r="E164" s="5">
        <f>9400.87/126</f>
        <v>74.610079365079372</v>
      </c>
      <c r="F164" s="5">
        <f>3134.01/126</f>
        <v>24.873095238095239</v>
      </c>
      <c r="G164" s="5">
        <f>9400.87/(18603/60)</f>
        <v>30.320496694081601</v>
      </c>
      <c r="H164" s="5">
        <f>407/126</f>
        <v>3.2301587301587302</v>
      </c>
    </row>
    <row r="165" spans="1:8" x14ac:dyDescent="0.15">
      <c r="A165" s="1">
        <v>45982</v>
      </c>
      <c r="B165" t="s">
        <v>3</v>
      </c>
      <c r="C165" s="5">
        <f>7870/36</f>
        <v>218.61111111111111</v>
      </c>
      <c r="D165" s="4">
        <f t="shared" si="17"/>
        <v>0.15181327160493827</v>
      </c>
      <c r="E165" s="5">
        <f>4978.18/36</f>
        <v>138.2827777777778</v>
      </c>
      <c r="F165" s="5">
        <f>1290.75/36</f>
        <v>35.854166666666664</v>
      </c>
      <c r="G165" s="5">
        <f>4978.18/(7870/60)</f>
        <v>37.953087674714112</v>
      </c>
      <c r="H165" s="5">
        <f>173/36</f>
        <v>4.8055555555555554</v>
      </c>
    </row>
    <row r="166" spans="1:8" x14ac:dyDescent="0.15">
      <c r="A166" s="1">
        <v>45983</v>
      </c>
      <c r="B166" t="s">
        <v>2</v>
      </c>
      <c r="C166" s="5">
        <f>17923/126</f>
        <v>142.24603174603175</v>
      </c>
      <c r="D166" s="4">
        <f t="shared" ref="D166:D171" si="18">C166/(24*60)</f>
        <v>9.8781966490299827E-2</v>
      </c>
      <c r="E166" s="5">
        <f>9503.73/126</f>
        <v>75.426428571428573</v>
      </c>
      <c r="F166" s="5">
        <f>3149.8/126</f>
        <v>24.9984126984127</v>
      </c>
      <c r="G166" s="5">
        <f>9503.73/(17923/60)</f>
        <v>31.815198348490767</v>
      </c>
      <c r="H166" s="5">
        <f>405/126</f>
        <v>3.2142857142857144</v>
      </c>
    </row>
    <row r="167" spans="1:8" x14ac:dyDescent="0.15">
      <c r="A167" s="1">
        <v>45983</v>
      </c>
      <c r="B167" t="s">
        <v>3</v>
      </c>
      <c r="C167" s="5">
        <f>7776/36</f>
        <v>216</v>
      </c>
      <c r="D167" s="4">
        <f t="shared" si="18"/>
        <v>0.15</v>
      </c>
      <c r="E167" s="5">
        <f>5214.63/36</f>
        <v>144.85083333333333</v>
      </c>
      <c r="F167" s="5">
        <f>1303.53/36</f>
        <v>36.209166666666668</v>
      </c>
      <c r="G167" s="5">
        <f>5214.63/(7776/60)</f>
        <v>40.236342592592592</v>
      </c>
      <c r="H167" s="5">
        <f>188/36</f>
        <v>5.2222222222222223</v>
      </c>
    </row>
    <row r="168" spans="1:8" x14ac:dyDescent="0.15">
      <c r="A168" s="1">
        <v>45984</v>
      </c>
      <c r="B168" t="s">
        <v>2</v>
      </c>
      <c r="C168" s="5">
        <f>16247/126</f>
        <v>128.94444444444446</v>
      </c>
      <c r="D168" s="4">
        <f t="shared" si="18"/>
        <v>8.9544753086419765E-2</v>
      </c>
      <c r="E168" s="5">
        <f>8696.35/126</f>
        <v>69.018650793650792</v>
      </c>
      <c r="F168" s="5">
        <f>2891.55/126</f>
        <v>22.948809523809526</v>
      </c>
      <c r="G168" s="5">
        <f>8696.35/(16247/60)</f>
        <v>32.115529020742287</v>
      </c>
      <c r="H168" s="5">
        <f>369/126</f>
        <v>2.9285714285714284</v>
      </c>
    </row>
    <row r="169" spans="1:8" x14ac:dyDescent="0.15">
      <c r="A169" s="1">
        <v>45984</v>
      </c>
      <c r="B169" t="s">
        <v>3</v>
      </c>
      <c r="C169" s="5">
        <f>6088/36</f>
        <v>169.11111111111111</v>
      </c>
      <c r="D169" s="4">
        <f t="shared" si="18"/>
        <v>0.11743827160493828</v>
      </c>
      <c r="E169" s="5">
        <f>3771.38/36</f>
        <v>104.76055555555556</v>
      </c>
      <c r="F169" s="5">
        <f>946.75/36</f>
        <v>26.298611111111111</v>
      </c>
      <c r="G169" s="5">
        <f>3771.38/(6088/60)</f>
        <v>37.168659658344282</v>
      </c>
      <c r="H169" s="5">
        <f>150/36</f>
        <v>4.166666666666667</v>
      </c>
    </row>
    <row r="170" spans="1:8" x14ac:dyDescent="0.15">
      <c r="A170" s="1">
        <v>45985</v>
      </c>
      <c r="B170" t="s">
        <v>2</v>
      </c>
      <c r="C170" s="5">
        <f>16756/126</f>
        <v>132.98412698412699</v>
      </c>
      <c r="D170" s="4">
        <f t="shared" si="18"/>
        <v>9.2350088183421525E-2</v>
      </c>
      <c r="E170" s="5">
        <f>8534.87/126</f>
        <v>67.737063492063498</v>
      </c>
      <c r="F170" s="5">
        <f>2770.42/126</f>
        <v>21.987460317460318</v>
      </c>
      <c r="G170" s="5">
        <f>8534.87/(16756/60)</f>
        <v>30.561721174504658</v>
      </c>
      <c r="H170" s="5">
        <f>370/126</f>
        <v>2.9365079365079363</v>
      </c>
    </row>
    <row r="171" spans="1:8" x14ac:dyDescent="0.15">
      <c r="A171" s="1">
        <v>45985</v>
      </c>
      <c r="B171" t="s">
        <v>3</v>
      </c>
      <c r="C171" s="5">
        <f>5905/36</f>
        <v>164.02777777777777</v>
      </c>
      <c r="D171" s="4">
        <f t="shared" si="18"/>
        <v>0.11390817901234568</v>
      </c>
      <c r="E171" s="5">
        <f>3778.09/36</f>
        <v>104.94694444444445</v>
      </c>
      <c r="F171" s="5">
        <f>1007.54/36</f>
        <v>27.987222222222222</v>
      </c>
      <c r="G171" s="5">
        <f>3778.09/(5905/60)</f>
        <v>38.388721422523282</v>
      </c>
      <c r="H171" s="5">
        <f>143/36</f>
        <v>3.9722222222222223</v>
      </c>
    </row>
    <row r="172" spans="1:8" x14ac:dyDescent="0.15">
      <c r="A172" s="1">
        <v>45986</v>
      </c>
      <c r="B172" t="s">
        <v>2</v>
      </c>
      <c r="C172" s="5">
        <f>15719/126</f>
        <v>124.75396825396825</v>
      </c>
      <c r="D172" s="4">
        <f>C172/(24*60)</f>
        <v>8.6634700176366847E-2</v>
      </c>
      <c r="E172" s="5">
        <f>8144.57/126</f>
        <v>64.639444444444436</v>
      </c>
      <c r="F172" s="5">
        <f>2728.64/126</f>
        <v>21.655873015873016</v>
      </c>
      <c r="G172" s="5">
        <f>8144.57/(15719/60)</f>
        <v>31.088122654112855</v>
      </c>
      <c r="H172" s="5">
        <f>357/126</f>
        <v>2.8333333333333335</v>
      </c>
    </row>
    <row r="173" spans="1:8" x14ac:dyDescent="0.15">
      <c r="A173" s="1">
        <v>45986</v>
      </c>
      <c r="B173" t="s">
        <v>3</v>
      </c>
      <c r="C173" s="5">
        <f>6336/36</f>
        <v>176</v>
      </c>
      <c r="D173" s="4">
        <f>C173/(24*60)</f>
        <v>0.12222222222222222</v>
      </c>
      <c r="E173" s="5">
        <f>4037.14/36</f>
        <v>112.14277777777778</v>
      </c>
      <c r="F173" s="5">
        <f>999.4/36</f>
        <v>27.761111111111109</v>
      </c>
      <c r="G173" s="5">
        <f>4037.14/(6336/60)</f>
        <v>38.230492424242428</v>
      </c>
      <c r="H173" s="5">
        <f>156/36</f>
        <v>4.333333333333333</v>
      </c>
    </row>
    <row r="174" spans="1:8" x14ac:dyDescent="0.15">
      <c r="A174" s="1">
        <v>45987</v>
      </c>
      <c r="B174" t="s">
        <v>2</v>
      </c>
      <c r="C174" s="5">
        <f>15319/126</f>
        <v>121.57936507936508</v>
      </c>
      <c r="D174" s="4">
        <f>C174/(24*60)</f>
        <v>8.4430114638447976E-2</v>
      </c>
      <c r="E174" s="5">
        <f>7978.38/126</f>
        <v>63.320476190476192</v>
      </c>
      <c r="F174" s="5">
        <f>2656.3/126</f>
        <v>21.081746031746032</v>
      </c>
      <c r="G174" s="5">
        <f>7978.38/(15319/60)</f>
        <v>31.24895880932176</v>
      </c>
      <c r="H174" s="5">
        <f>342/126</f>
        <v>2.7142857142857144</v>
      </c>
    </row>
    <row r="175" spans="1:8" x14ac:dyDescent="0.15">
      <c r="A175" s="1">
        <v>45987</v>
      </c>
      <c r="B175" t="s">
        <v>3</v>
      </c>
      <c r="C175" s="5">
        <f>8202/36</f>
        <v>227.83333333333334</v>
      </c>
      <c r="D175" s="4">
        <f>C175/(24*60)</f>
        <v>0.1582175925925926</v>
      </c>
      <c r="E175" s="5">
        <f>5264.22/36</f>
        <v>146.22833333333335</v>
      </c>
      <c r="F175" s="5">
        <f>1349.22/36</f>
        <v>37.478333333333332</v>
      </c>
      <c r="G175" s="5">
        <f>5264.22/(8202/60)</f>
        <v>38.509290416971474</v>
      </c>
      <c r="H175" s="5">
        <f>189/36</f>
        <v>5.25</v>
      </c>
    </row>
    <row r="176" spans="1:8" x14ac:dyDescent="0.15">
      <c r="A176" s="1">
        <v>45988</v>
      </c>
      <c r="B176" t="s">
        <v>2</v>
      </c>
      <c r="C176" s="5">
        <f>15245/126</f>
        <v>120.99206349206349</v>
      </c>
      <c r="D176" s="4">
        <f>C176/(24*60)</f>
        <v>8.4022266313932975E-2</v>
      </c>
      <c r="E176" s="5">
        <f>8224.8/126</f>
        <v>65.276190476190465</v>
      </c>
      <c r="F176" s="5">
        <f>2762.38/126</f>
        <v>21.923650793650793</v>
      </c>
      <c r="G176" s="5">
        <f>8224.8/(15245/60)</f>
        <v>32.370482125286976</v>
      </c>
      <c r="H176" s="5">
        <f>341/126</f>
        <v>2.7063492063492065</v>
      </c>
    </row>
    <row r="177" spans="1:8" x14ac:dyDescent="0.15">
      <c r="A177" s="1">
        <v>45988</v>
      </c>
      <c r="B177" t="s">
        <v>3</v>
      </c>
      <c r="C177" s="5">
        <f>6480/36</f>
        <v>180</v>
      </c>
      <c r="D177" s="4">
        <f>C177/(24*60)</f>
        <v>0.125</v>
      </c>
      <c r="E177" s="5">
        <f>4637.62/36</f>
        <v>128.82277777777779</v>
      </c>
      <c r="F177" s="5">
        <f>1192.38/36</f>
        <v>33.12166666666667</v>
      </c>
      <c r="G177" s="5">
        <f>4637.62/(6480/60)</f>
        <v>42.940925925925924</v>
      </c>
      <c r="H177" s="5">
        <f>169/36</f>
        <v>4.6944444444444446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2025-11-27T23:53:31Z</dcterms:modified>
</cp:coreProperties>
</file>