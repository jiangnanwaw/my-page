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37" i="1" l="1"/>
  <c r="G237" i="1"/>
  <c r="F237" i="1"/>
  <c r="E237" i="1"/>
  <c r="D237" i="1"/>
  <c r="C237" i="1"/>
  <c r="H236" i="1"/>
  <c r="G236" i="1"/>
  <c r="F236" i="1"/>
  <c r="E236" i="1"/>
  <c r="D236" i="1"/>
  <c r="C236" i="1"/>
  <c r="H235" i="1" l="1"/>
  <c r="G235" i="1"/>
  <c r="F235" i="1"/>
  <c r="E235" i="1"/>
  <c r="D235" i="1"/>
  <c r="C235" i="1"/>
  <c r="H234" i="1"/>
  <c r="G234" i="1"/>
  <c r="F234" i="1"/>
  <c r="E234" i="1"/>
  <c r="D234" i="1"/>
  <c r="C234" i="1"/>
  <c r="H233" i="1" l="1"/>
  <c r="G233" i="1"/>
  <c r="F233" i="1"/>
  <c r="E233" i="1"/>
  <c r="D233" i="1"/>
  <c r="C233" i="1"/>
  <c r="H232" i="1"/>
  <c r="G232" i="1"/>
  <c r="F232" i="1"/>
  <c r="E232" i="1"/>
  <c r="D232" i="1"/>
  <c r="C232" i="1"/>
  <c r="H231" i="1" l="1"/>
  <c r="G231" i="1"/>
  <c r="F231" i="1"/>
  <c r="E231" i="1"/>
  <c r="D231" i="1"/>
  <c r="C231" i="1"/>
  <c r="H230" i="1"/>
  <c r="G230" i="1"/>
  <c r="F230" i="1"/>
  <c r="E230" i="1"/>
  <c r="D230" i="1"/>
  <c r="C230" i="1"/>
  <c r="H229" i="1" l="1"/>
  <c r="G229" i="1"/>
  <c r="F229" i="1"/>
  <c r="E229" i="1"/>
  <c r="D229" i="1"/>
  <c r="C229" i="1"/>
  <c r="H228" i="1"/>
  <c r="G228" i="1"/>
  <c r="F228" i="1"/>
  <c r="E228" i="1"/>
  <c r="D228" i="1"/>
  <c r="C228" i="1"/>
  <c r="H227" i="1" l="1"/>
  <c r="G227" i="1"/>
  <c r="F227" i="1"/>
  <c r="E227" i="1"/>
  <c r="D227" i="1"/>
  <c r="C227" i="1"/>
  <c r="H226" i="1"/>
  <c r="G226" i="1"/>
  <c r="F226" i="1"/>
  <c r="E226" i="1"/>
  <c r="D226" i="1"/>
  <c r="C226" i="1"/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<sst xmlns="http://schemas.openxmlformats.org/spreadsheetml/2006/main" count="267" uniqueCount="28">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</sst>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37"/>
  <sheetViews>
    <sheetView tabSelected="1" topLeftCell="A229" workbookViewId="0">
      <selection activeCell="J237" sqref="J237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 t="shared" ref="D226:D231" si="27"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 t="shared" si="27"/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 t="shared" si="27"/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 t="shared" si="27"/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 t="shared" si="27"/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 t="shared" si="27"/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  <row r="232" spans="1:8" x14ac:dyDescent="0.15">
      <c r="A232" s="1">
        <v>46016</v>
      </c>
      <c r="B232" t="s">
        <v>2</v>
      </c>
      <c r="C232" s="5">
        <f>21598/126</f>
        <v>171.4126984126984</v>
      </c>
      <c r="D232" s="4">
        <f>C232/1440</f>
        <v>0.11903659611992945</v>
      </c>
      <c r="E232" s="5">
        <f>10431/126</f>
        <v>82.785714285714292</v>
      </c>
      <c r="F232" s="5">
        <f>3547/126</f>
        <v>28.150793650793652</v>
      </c>
      <c r="G232" s="5">
        <f>10431/(21598/60)</f>
        <v>28.977683118807299</v>
      </c>
      <c r="H232" s="5">
        <f>438/126</f>
        <v>3.4761904761904763</v>
      </c>
    </row>
    <row r="233" spans="1:8" x14ac:dyDescent="0.15">
      <c r="A233" s="1">
        <v>46016</v>
      </c>
      <c r="B233" t="s">
        <v>3</v>
      </c>
      <c r="C233" s="5">
        <f>9941/36</f>
        <v>276.13888888888891</v>
      </c>
      <c r="D233" s="4">
        <f>C233/1440</f>
        <v>0.19176311728395062</v>
      </c>
      <c r="E233" s="5">
        <f>6540/36</f>
        <v>181.66666666666666</v>
      </c>
      <c r="F233" s="5">
        <f>1724/36</f>
        <v>47.888888888888886</v>
      </c>
      <c r="G233" s="5">
        <f>6540/(9941/60)</f>
        <v>39.472890051302684</v>
      </c>
      <c r="H233" s="5">
        <f>222/36</f>
        <v>6.166666666666667</v>
      </c>
    </row>
    <row r="234" spans="1:8" x14ac:dyDescent="0.15">
      <c r="A234" s="1">
        <v>46017</v>
      </c>
      <c r="B234" t="s">
        <v>2</v>
      </c>
      <c r="C234" s="5">
        <f>21253/126</f>
        <v>168.67460317460316</v>
      </c>
      <c r="D234" s="4">
        <f>C234/1440</f>
        <v>0.11713514109347442</v>
      </c>
      <c r="E234" s="5">
        <f>10476/126</f>
        <v>83.142857142857139</v>
      </c>
      <c r="F234" s="5">
        <f>3453/126</f>
        <v>27.404761904761905</v>
      </c>
      <c r="G234" s="5">
        <f>10476/(21253/60)</f>
        <v>29.575118806756695</v>
      </c>
      <c r="H234" s="5">
        <f>423/126</f>
        <v>3.3571428571428572</v>
      </c>
    </row>
    <row r="235" spans="1:8" x14ac:dyDescent="0.15">
      <c r="A235" s="1">
        <v>46017</v>
      </c>
      <c r="B235" t="s">
        <v>3</v>
      </c>
      <c r="C235" s="5">
        <f>8990/36</f>
        <v>249.72222222222223</v>
      </c>
      <c r="D235" s="4">
        <f>C235/1440</f>
        <v>0.17341820987654322</v>
      </c>
      <c r="E235" s="5">
        <f>6068/36</f>
        <v>168.55555555555554</v>
      </c>
      <c r="F235" s="5">
        <f>1619/36</f>
        <v>44.972222222222221</v>
      </c>
      <c r="G235" s="5">
        <f>6068/(8990/60)</f>
        <v>40.49833147942158</v>
      </c>
      <c r="H235" s="5">
        <f>203/36</f>
        <v>5.6388888888888893</v>
      </c>
    </row>
    <row r="236" spans="1:8" x14ac:dyDescent="0.15">
      <c r="A236" s="1">
        <v>46018</v>
      </c>
      <c r="B236" t="s">
        <v>2</v>
      </c>
      <c r="C236" s="5">
        <f>18541/126</f>
        <v>147.15079365079364</v>
      </c>
      <c r="D236" s="4">
        <f>C236/1440</f>
        <v>0.10218805114638448</v>
      </c>
      <c r="E236" s="5">
        <f>9217/126</f>
        <v>73.150793650793645</v>
      </c>
      <c r="F236" s="5">
        <f>3062/126</f>
        <v>24.301587301587301</v>
      </c>
      <c r="G236" s="5">
        <f>9217/(18541/60)</f>
        <v>29.826870179601965</v>
      </c>
      <c r="H236" s="5">
        <f>377/126</f>
        <v>2.9920634920634921</v>
      </c>
    </row>
    <row r="237" spans="1:8" x14ac:dyDescent="0.15">
      <c r="A237" s="1">
        <v>46018</v>
      </c>
      <c r="B237" t="s">
        <v>3</v>
      </c>
      <c r="C237" s="5">
        <f>7735/36</f>
        <v>214.86111111111111</v>
      </c>
      <c r="D237" s="4">
        <f>C237/1440</f>
        <v>0.14920910493827161</v>
      </c>
      <c r="E237" s="5">
        <f>4885/36</f>
        <v>135.69444444444446</v>
      </c>
      <c r="F237" s="5">
        <f>1295/36</f>
        <v>35.972222222222221</v>
      </c>
      <c r="G237" s="5">
        <f>4885/(7735/60)</f>
        <v>37.892695539754364</v>
      </c>
      <c r="H237" s="5">
        <f>182/36</f>
        <v>5.0555555555555554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2025-12-28T01:49:13Z</dcterms:modified>
</cp:coreProperties>
</file>