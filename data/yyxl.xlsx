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Sheet1!$A$1:$J$53</definedName>
  </definedNames>
  <calcPr calcId="152511"/>
</workbook>
</file>

<file path=xl/calcChain.xml><?xml version="1.0" encoding="utf-8"?>
<calcChain xmlns="http://schemas.openxmlformats.org/spreadsheetml/2006/main">
  <c r="H129" i="1" l="1"/>
  <c r="G129" i="1"/>
  <c r="F129" i="1"/>
  <c r="E129" i="1"/>
  <c r="D129" i="1"/>
  <c r="C129" i="1"/>
  <c r="H128" i="1"/>
  <c r="G128" i="1"/>
  <c r="F128" i="1"/>
  <c r="E128" i="1"/>
  <c r="D128" i="1"/>
  <c r="C128" i="1"/>
  <c r="H127" i="1" l="1"/>
  <c r="G127" i="1"/>
  <c r="F127" i="1"/>
  <c r="E127" i="1"/>
  <c r="D127" i="1"/>
  <c r="C127" i="1"/>
  <c r="H126" i="1"/>
  <c r="C126" i="1"/>
  <c r="D126" i="1" s="1"/>
  <c r="G126" i="1"/>
  <c r="F126" i="1"/>
  <c r="E126" i="1"/>
  <c r="H125" i="1" l="1"/>
  <c r="G125" i="1"/>
  <c r="F125" i="1"/>
  <c r="E125" i="1"/>
  <c r="D125" i="1"/>
  <c r="C125" i="1"/>
  <c r="H124" i="1"/>
  <c r="G124" i="1"/>
  <c r="F124" i="1"/>
  <c r="E124" i="1"/>
  <c r="D124" i="1"/>
  <c r="C124" i="1"/>
  <c r="H123" i="1" l="1"/>
  <c r="G123" i="1"/>
  <c r="F123" i="1"/>
  <c r="E123" i="1"/>
  <c r="D123" i="1"/>
  <c r="C123" i="1"/>
  <c r="H122" i="1"/>
  <c r="G122" i="1"/>
  <c r="F122" i="1"/>
  <c r="E122" i="1"/>
  <c r="D122" i="1"/>
  <c r="C122" i="1"/>
  <c r="H121" i="1" l="1"/>
  <c r="G121" i="1"/>
  <c r="F121" i="1"/>
  <c r="E121" i="1"/>
  <c r="D121" i="1"/>
  <c r="C121" i="1"/>
  <c r="H120" i="1"/>
  <c r="G120" i="1"/>
  <c r="F120" i="1"/>
  <c r="E120" i="1"/>
  <c r="D120" i="1"/>
  <c r="C120" i="1"/>
  <c r="H119" i="1" l="1"/>
  <c r="G119" i="1"/>
  <c r="F119" i="1"/>
  <c r="E119" i="1"/>
  <c r="D119" i="1"/>
  <c r="C119" i="1"/>
  <c r="H118" i="1"/>
  <c r="G118" i="1"/>
  <c r="F118" i="1"/>
  <c r="E118" i="1"/>
  <c r="D118" i="1"/>
  <c r="C118" i="1"/>
  <c r="H117" i="1" l="1"/>
  <c r="G117" i="1"/>
  <c r="F117" i="1"/>
  <c r="E117" i="1"/>
  <c r="D117" i="1"/>
  <c r="C117" i="1"/>
  <c r="H116" i="1"/>
  <c r="G116" i="1"/>
  <c r="F116" i="1"/>
  <c r="E116" i="1"/>
  <c r="D116" i="1"/>
  <c r="C116" i="1"/>
  <c r="H115" i="1" l="1"/>
  <c r="G115" i="1"/>
  <c r="F115" i="1"/>
  <c r="E115" i="1"/>
  <c r="D115" i="1"/>
  <c r="C115" i="1"/>
  <c r="H114" i="1"/>
  <c r="G114" i="1"/>
  <c r="F114" i="1"/>
  <c r="E114" i="1"/>
  <c r="D114" i="1"/>
  <c r="C114" i="1"/>
  <c r="H113" i="1" l="1"/>
  <c r="G113" i="1"/>
  <c r="F113" i="1"/>
  <c r="E113" i="1"/>
  <c r="D113" i="1"/>
  <c r="C113" i="1"/>
  <c r="H112" i="1"/>
  <c r="G112" i="1"/>
  <c r="F112" i="1"/>
  <c r="E112" i="1"/>
  <c r="D112" i="1"/>
  <c r="C112" i="1"/>
  <c r="H111" i="1" l="1"/>
  <c r="G111" i="1"/>
  <c r="E111" i="1"/>
  <c r="F111" i="1"/>
  <c r="D111" i="1"/>
  <c r="C111" i="1"/>
  <c r="H110" i="1"/>
  <c r="G110" i="1"/>
  <c r="F110" i="1"/>
  <c r="E110" i="1"/>
  <c r="D110" i="1"/>
  <c r="C110" i="1"/>
  <c r="H109" i="1" l="1"/>
  <c r="G109" i="1"/>
  <c r="F109" i="1"/>
  <c r="E109" i="1"/>
  <c r="D109" i="1"/>
  <c r="C109" i="1"/>
  <c r="H108" i="1"/>
  <c r="G108" i="1"/>
  <c r="F108" i="1"/>
  <c r="E108" i="1"/>
  <c r="D108" i="1"/>
  <c r="C108" i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D106" i="1"/>
  <c r="C106" i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D103" i="1"/>
  <c r="C103" i="1"/>
  <c r="H102" i="1"/>
  <c r="G102" i="1"/>
  <c r="F102" i="1"/>
  <c r="E102" i="1"/>
  <c r="D102" i="1"/>
  <c r="C102" i="1"/>
  <c r="H101" i="1" l="1"/>
  <c r="G101" i="1"/>
  <c r="F101" i="1"/>
  <c r="E101" i="1"/>
  <c r="D101" i="1"/>
  <c r="C101" i="1"/>
  <c r="H100" i="1"/>
  <c r="G100" i="1"/>
  <c r="F100" i="1"/>
  <c r="E100" i="1"/>
  <c r="D100" i="1"/>
  <c r="C100" i="1"/>
  <c r="H99" i="1" l="1"/>
  <c r="F99" i="1"/>
  <c r="E99" i="1"/>
  <c r="D99" i="1"/>
  <c r="C97" i="1"/>
  <c r="C99" i="1"/>
  <c r="H98" i="1"/>
  <c r="G98" i="1"/>
  <c r="F98" i="1"/>
  <c r="E98" i="1"/>
  <c r="D98" i="1"/>
  <c r="C98" i="1"/>
  <c r="H97" i="1" l="1"/>
  <c r="G97" i="1"/>
  <c r="F97" i="1"/>
  <c r="E97" i="1"/>
  <c r="D97" i="1"/>
  <c r="H96" i="1"/>
  <c r="G96" i="1"/>
  <c r="F96" i="1"/>
  <c r="E96" i="1"/>
  <c r="D96" i="1"/>
  <c r="C96" i="1"/>
  <c r="H95" i="1" l="1"/>
  <c r="G95" i="1"/>
  <c r="F95" i="1"/>
  <c r="E95" i="1"/>
  <c r="D95" i="1"/>
  <c r="C95" i="1"/>
  <c r="H94" i="1"/>
  <c r="G94" i="1"/>
  <c r="F94" i="1"/>
  <c r="E94" i="1"/>
  <c r="D94" i="1"/>
  <c r="C94" i="1"/>
  <c r="H93" i="1" l="1"/>
  <c r="G93" i="1"/>
  <c r="F93" i="1"/>
  <c r="E93" i="1"/>
  <c r="D93" i="1"/>
  <c r="C93" i="1"/>
  <c r="H92" i="1"/>
  <c r="G92" i="1"/>
  <c r="F92" i="1"/>
  <c r="E92" i="1"/>
  <c r="D92" i="1"/>
  <c r="C92" i="1"/>
  <c r="H91" i="1" l="1"/>
  <c r="G91" i="1"/>
  <c r="F91" i="1"/>
  <c r="E91" i="1"/>
  <c r="D91" i="1"/>
  <c r="C91" i="1"/>
  <c r="H90" i="1"/>
  <c r="G90" i="1"/>
  <c r="F90" i="1"/>
  <c r="E90" i="1"/>
  <c r="D90" i="1"/>
  <c r="C90" i="1"/>
  <c r="H89" i="1" l="1"/>
  <c r="G89" i="1"/>
  <c r="F89" i="1"/>
  <c r="E89" i="1"/>
  <c r="D89" i="1"/>
  <c r="C89" i="1"/>
  <c r="H88" i="1"/>
  <c r="G88" i="1"/>
  <c r="F88" i="1"/>
  <c r="E88" i="1"/>
  <c r="D88" i="1"/>
  <c r="C88" i="1"/>
  <c r="H86" i="1" l="1"/>
  <c r="G86" i="1"/>
  <c r="F86" i="1"/>
  <c r="E86" i="1"/>
  <c r="D86" i="1"/>
  <c r="C86" i="1"/>
  <c r="H87" i="1"/>
  <c r="G87" i="1"/>
  <c r="F87" i="1"/>
  <c r="E87" i="1"/>
  <c r="D87" i="1"/>
  <c r="C87" i="1"/>
  <c r="G84" i="1" l="1"/>
  <c r="H84" i="1"/>
  <c r="F84" i="1"/>
  <c r="E84" i="1"/>
  <c r="D84" i="1"/>
  <c r="C84" i="1"/>
  <c r="H85" i="1"/>
  <c r="E85" i="1"/>
  <c r="G85" i="1"/>
  <c r="F85" i="1"/>
  <c r="D85" i="1"/>
  <c r="C85" i="1"/>
  <c r="G82" i="1" l="1"/>
  <c r="F82" i="1"/>
  <c r="E82" i="1"/>
  <c r="D82" i="1"/>
  <c r="C82" i="1"/>
  <c r="H83" i="1"/>
  <c r="G83" i="1"/>
  <c r="F83" i="1"/>
  <c r="E83" i="1"/>
  <c r="D83" i="1"/>
  <c r="C83" i="1"/>
  <c r="H81" i="1" l="1"/>
  <c r="G81" i="1"/>
  <c r="F81" i="1"/>
  <c r="E81" i="1"/>
  <c r="D81" i="1"/>
  <c r="C81" i="1"/>
  <c r="H80" i="1"/>
  <c r="G80" i="1"/>
  <c r="F80" i="1"/>
  <c r="E80" i="1"/>
  <c r="D80" i="1"/>
  <c r="C80" i="1"/>
  <c r="H78" i="1"/>
  <c r="G78" i="1"/>
  <c r="F78" i="1"/>
  <c r="E78" i="1"/>
  <c r="D78" i="1"/>
  <c r="C78" i="1"/>
  <c r="H79" i="1"/>
  <c r="G79" i="1"/>
  <c r="F79" i="1"/>
  <c r="E79" i="1"/>
  <c r="D79" i="1"/>
  <c r="C79" i="1"/>
  <c r="H77" i="1" l="1"/>
  <c r="G77" i="1"/>
  <c r="F77" i="1"/>
  <c r="E77" i="1"/>
  <c r="D77" i="1"/>
  <c r="C77" i="1"/>
  <c r="H76" i="1"/>
  <c r="G76" i="1"/>
  <c r="F76" i="1"/>
  <c r="E76" i="1"/>
  <c r="D76" i="1"/>
  <c r="C76" i="1"/>
  <c r="C74" i="1" l="1"/>
  <c r="G74" i="1"/>
  <c r="F74" i="1"/>
  <c r="E74" i="1"/>
  <c r="D74" i="1"/>
  <c r="H75" i="1"/>
  <c r="G75" i="1"/>
  <c r="F75" i="1"/>
  <c r="E75" i="1"/>
  <c r="D75" i="1"/>
  <c r="C75" i="1"/>
  <c r="H72" i="1" l="1"/>
  <c r="G72" i="1"/>
  <c r="F72" i="1"/>
  <c r="E72" i="1"/>
  <c r="D72" i="1"/>
  <c r="C72" i="1"/>
  <c r="H73" i="1"/>
  <c r="G73" i="1"/>
  <c r="F73" i="1"/>
  <c r="E73" i="1"/>
  <c r="D73" i="1"/>
  <c r="C73" i="1"/>
  <c r="H71" i="1" l="1"/>
  <c r="G71" i="1"/>
  <c r="F71" i="1"/>
  <c r="E71" i="1"/>
  <c r="D71" i="1"/>
  <c r="D69" i="1"/>
  <c r="D70" i="1"/>
  <c r="C71" i="1"/>
  <c r="H70" i="1"/>
  <c r="G70" i="1"/>
  <c r="F70" i="1"/>
  <c r="E70" i="1"/>
  <c r="C70" i="1"/>
  <c r="H69" i="1" l="1"/>
  <c r="G69" i="1"/>
  <c r="F69" i="1"/>
  <c r="E69" i="1"/>
  <c r="C69" i="1"/>
  <c r="H68" i="1"/>
  <c r="G68" i="1"/>
  <c r="F68" i="1"/>
  <c r="E68" i="1"/>
  <c r="D68" i="1"/>
  <c r="C68" i="1"/>
  <c r="H66" i="1" l="1"/>
  <c r="G66" i="1"/>
  <c r="F66" i="1"/>
  <c r="E66" i="1"/>
  <c r="D66" i="1"/>
  <c r="C64" i="1"/>
  <c r="C65" i="1"/>
  <c r="C66" i="1"/>
  <c r="H67" i="1"/>
  <c r="G67" i="1"/>
  <c r="F67" i="1"/>
  <c r="E67" i="1"/>
  <c r="D67" i="1"/>
  <c r="C67" i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D63" i="1"/>
  <c r="C63" i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D60" i="1"/>
  <c r="C60" i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D59" i="1"/>
  <c r="C59" i="1"/>
  <c r="H57" i="1" l="1"/>
  <c r="G56" i="1"/>
  <c r="F57" i="1"/>
  <c r="F56" i="1"/>
  <c r="D57" i="1"/>
  <c r="H56" i="1"/>
  <c r="D56" i="1"/>
  <c r="C56" i="1"/>
</calcChain>
</file>

<file path=xl/sharedStrings.xml><?xml version="1.0" encoding="utf-8"?>
<sst xmlns="http://schemas.openxmlformats.org/spreadsheetml/2006/main" count="159" uniqueCount="28">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</sst>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29"/>
  <sheetViews>
    <sheetView tabSelected="1" topLeftCell="A121" workbookViewId="0">
      <selection activeCell="J128" sqref="J128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  <col min="10" max="10" width="12.875" customWidth="1"/>
    <col min="12" max="12" width="10.625" customWidth="1"/>
  </cols>
  <sheetData>
    <row r="1" spans="1:15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  <c r="K1" s="2"/>
      <c r="L1" s="2"/>
      <c r="M1" s="2"/>
      <c r="N1" s="2"/>
      <c r="O1" s="2"/>
    </row>
    <row r="2" spans="1:15" x14ac:dyDescent="0.15">
      <c r="A2" s="1">
        <v>45901</v>
      </c>
      <c r="B2" t="s">
        <v>2</v>
      </c>
      <c r="C2" s="5">
        <v>156.39370078740157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  <c r="K2" s="2"/>
      <c r="L2" s="2"/>
      <c r="M2" s="2"/>
      <c r="N2" s="2"/>
      <c r="O2" s="2"/>
    </row>
    <row r="3" spans="1:15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  <c r="K3" s="2"/>
      <c r="L3" s="2"/>
      <c r="M3" s="2"/>
      <c r="N3" s="2"/>
      <c r="O3" s="2"/>
    </row>
    <row r="4" spans="1:15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  <c r="K4" s="2"/>
      <c r="L4" s="2"/>
      <c r="M4" s="2"/>
      <c r="N4" s="2"/>
      <c r="O4" s="2"/>
    </row>
    <row r="5" spans="1:15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  <c r="K5" s="2"/>
      <c r="L5" s="2"/>
      <c r="M5" s="2"/>
      <c r="N5" s="2"/>
      <c r="O5" s="2"/>
    </row>
    <row r="6" spans="1:15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  <c r="K6" s="2"/>
      <c r="L6" s="2"/>
      <c r="M6" s="2"/>
      <c r="N6" s="2"/>
      <c r="O6" s="2"/>
    </row>
    <row r="7" spans="1:15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  <c r="K7" s="2"/>
      <c r="L7" s="2"/>
      <c r="M7" s="2"/>
      <c r="N7" s="2"/>
      <c r="O7" s="2"/>
    </row>
    <row r="8" spans="1:15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  <c r="K8" s="2"/>
      <c r="L8" s="2"/>
      <c r="M8" s="2"/>
      <c r="N8" s="2"/>
      <c r="O8" s="2"/>
    </row>
    <row r="9" spans="1:15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  <c r="K9" s="2"/>
      <c r="L9" s="2"/>
      <c r="M9" s="2"/>
      <c r="N9" s="2"/>
      <c r="O9" s="2"/>
    </row>
    <row r="10" spans="1:15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  <c r="K10" s="2"/>
      <c r="L10" s="2"/>
      <c r="M10" s="2"/>
      <c r="N10" s="2"/>
      <c r="O10" s="2"/>
    </row>
    <row r="11" spans="1:15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  <c r="K11" s="2"/>
      <c r="L11" s="2"/>
      <c r="M11" s="2"/>
      <c r="N11" s="2"/>
      <c r="O11" s="2"/>
    </row>
    <row r="12" spans="1:15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  <c r="K12" s="2"/>
      <c r="L12" s="2"/>
      <c r="M12" s="2"/>
      <c r="N12" s="2"/>
      <c r="O12" s="2"/>
    </row>
    <row r="13" spans="1:15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  <c r="K13" s="2"/>
      <c r="L13" s="2"/>
      <c r="M13" s="2"/>
      <c r="N13" s="2"/>
      <c r="O13" s="2"/>
    </row>
    <row r="14" spans="1:15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  <c r="K14" s="2"/>
      <c r="L14" s="2"/>
      <c r="M14" s="2"/>
      <c r="N14" s="2"/>
      <c r="O14" s="2"/>
    </row>
    <row r="15" spans="1:15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  <c r="K15" s="2"/>
      <c r="L15" s="2"/>
      <c r="M15" s="2"/>
      <c r="N15" s="2"/>
      <c r="O15" s="2"/>
    </row>
    <row r="16" spans="1:15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  <c r="K16" s="2"/>
      <c r="L16" s="2"/>
      <c r="M16" s="2"/>
      <c r="N16" s="2"/>
      <c r="O16" s="2"/>
    </row>
    <row r="17" spans="1:15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  <c r="K17" s="2"/>
      <c r="L17" s="2"/>
      <c r="M17" s="2"/>
      <c r="N17" s="2"/>
      <c r="O17" s="2"/>
    </row>
    <row r="18" spans="1:15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  <c r="K18" s="2"/>
      <c r="L18" s="2"/>
      <c r="M18" s="2"/>
      <c r="N18" s="2"/>
      <c r="O18" s="2"/>
    </row>
    <row r="19" spans="1:15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  <c r="K19" s="2"/>
      <c r="L19" s="2"/>
      <c r="M19" s="2"/>
      <c r="N19" s="2"/>
      <c r="O19" s="2"/>
    </row>
    <row r="20" spans="1:15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  <c r="K20" s="2"/>
      <c r="L20" s="2"/>
      <c r="M20" s="2"/>
      <c r="N20" s="2"/>
      <c r="O20" s="2"/>
    </row>
    <row r="21" spans="1:15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  <c r="K21" s="2"/>
      <c r="L21" s="2"/>
      <c r="M21" s="2"/>
      <c r="N21" s="2"/>
      <c r="O21" s="2"/>
    </row>
    <row r="22" spans="1:15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  <c r="K22" s="2"/>
      <c r="L22" s="2"/>
      <c r="M22" s="2"/>
      <c r="N22" s="2"/>
      <c r="O22" s="2"/>
    </row>
    <row r="23" spans="1:15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  <c r="K23" s="2"/>
      <c r="L23" s="2"/>
      <c r="M23" s="2"/>
      <c r="N23" s="2"/>
      <c r="O23" s="2"/>
    </row>
    <row r="24" spans="1:15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  <c r="K24" s="2"/>
      <c r="L24" s="2"/>
      <c r="M24" s="2"/>
      <c r="N24" s="2"/>
      <c r="O24" s="2"/>
    </row>
    <row r="25" spans="1:15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  <c r="K25" s="2"/>
      <c r="L25" s="2"/>
      <c r="M25" s="2"/>
      <c r="N25" s="2"/>
      <c r="O25" s="2"/>
    </row>
    <row r="26" spans="1:15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  <c r="K26" s="2"/>
      <c r="L26" s="2"/>
      <c r="M26" s="2"/>
      <c r="N26" s="2"/>
      <c r="O26" s="2"/>
    </row>
    <row r="27" spans="1:15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  <c r="K27" s="2"/>
      <c r="L27" s="2"/>
      <c r="M27" s="2"/>
      <c r="N27" s="2"/>
      <c r="O27" s="2"/>
    </row>
    <row r="28" spans="1:15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  <c r="K28" s="2"/>
      <c r="L28" s="2"/>
      <c r="M28" s="2"/>
      <c r="N28" s="2"/>
      <c r="O28" s="2"/>
    </row>
    <row r="29" spans="1:15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  <c r="K29" s="2"/>
      <c r="L29" s="2"/>
      <c r="M29" s="2"/>
      <c r="N29" s="2"/>
      <c r="O29" s="2"/>
    </row>
    <row r="30" spans="1:15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  <c r="K30" s="2"/>
      <c r="L30" s="2"/>
      <c r="M30" s="2"/>
      <c r="N30" s="2"/>
      <c r="O30" s="2"/>
    </row>
    <row r="31" spans="1:15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  <c r="K31" s="2"/>
      <c r="L31" s="2"/>
      <c r="M31" s="2"/>
      <c r="N31" s="2"/>
      <c r="O31" s="2"/>
    </row>
    <row r="32" spans="1:15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  <c r="K32" s="2"/>
      <c r="L32" s="2"/>
      <c r="M32" s="2"/>
      <c r="N32" s="2"/>
      <c r="O32" s="2"/>
    </row>
    <row r="33" spans="1:15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  <c r="K33" s="2"/>
      <c r="L33" s="2"/>
      <c r="M33" s="2"/>
      <c r="N33" s="2"/>
      <c r="O33" s="2"/>
    </row>
    <row r="34" spans="1:15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  <c r="K34" s="2"/>
      <c r="L34" s="2"/>
      <c r="M34" s="2"/>
      <c r="N34" s="2"/>
      <c r="O34" s="2"/>
    </row>
    <row r="35" spans="1:15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  <c r="K35" s="2"/>
      <c r="L35" s="2"/>
      <c r="M35" s="2"/>
      <c r="N35" s="2"/>
      <c r="O35" s="2"/>
    </row>
    <row r="36" spans="1:15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  <c r="K36" s="2"/>
      <c r="L36" s="2"/>
      <c r="M36" s="2"/>
      <c r="N36" s="2"/>
      <c r="O36" s="2"/>
    </row>
    <row r="37" spans="1:15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  <c r="K37" s="2"/>
      <c r="L37" s="2"/>
      <c r="M37" s="2"/>
      <c r="N37" s="2"/>
      <c r="O37" s="2"/>
    </row>
    <row r="38" spans="1:15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  <c r="K38" s="2"/>
      <c r="L38" s="2"/>
      <c r="M38" s="2"/>
      <c r="N38" s="2"/>
      <c r="O38" s="2"/>
    </row>
    <row r="39" spans="1:15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  <c r="K39" s="2"/>
      <c r="L39" s="2"/>
      <c r="M39" s="2"/>
      <c r="N39" s="2"/>
      <c r="O39" s="2"/>
    </row>
    <row r="40" spans="1:15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  <c r="K40" s="2"/>
      <c r="L40" s="2"/>
      <c r="M40" s="2"/>
      <c r="N40" s="2"/>
      <c r="O40" s="2"/>
    </row>
    <row r="41" spans="1:15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  <c r="K41" s="2"/>
      <c r="L41" s="2"/>
      <c r="M41" s="2"/>
      <c r="N41" s="2"/>
      <c r="O41" s="2"/>
    </row>
    <row r="42" spans="1:15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  <c r="K42" s="2"/>
      <c r="L42" s="2"/>
      <c r="M42" s="2"/>
      <c r="N42" s="2"/>
      <c r="O42" s="2"/>
    </row>
    <row r="43" spans="1:15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  <c r="K43" s="2"/>
      <c r="L43" s="2"/>
      <c r="M43" s="2"/>
      <c r="N43" s="2"/>
      <c r="O43" s="2"/>
    </row>
    <row r="44" spans="1:15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  <c r="K44" s="2"/>
      <c r="L44" s="2"/>
      <c r="M44" s="2"/>
      <c r="N44" s="2"/>
      <c r="O44" s="2"/>
    </row>
    <row r="45" spans="1:15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  <c r="K45" s="2"/>
      <c r="L45" s="2"/>
      <c r="M45" s="2"/>
      <c r="N45" s="2"/>
      <c r="O45" s="2"/>
    </row>
    <row r="46" spans="1:15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  <c r="K46" s="2"/>
      <c r="L46" s="2"/>
      <c r="M46" s="2"/>
      <c r="N46" s="2"/>
      <c r="O46" s="2"/>
    </row>
    <row r="47" spans="1:15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  <c r="K47" s="2"/>
      <c r="L47" s="2"/>
      <c r="M47" s="2"/>
      <c r="N47" s="2"/>
      <c r="O47" s="2"/>
    </row>
    <row r="48" spans="1:15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  <c r="K48" s="2"/>
      <c r="L48" s="2"/>
      <c r="M48" s="2"/>
      <c r="N48" s="2"/>
      <c r="O48" s="2"/>
    </row>
    <row r="49" spans="1:15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  <c r="K49" s="2"/>
      <c r="L49" s="2"/>
      <c r="M49" s="2"/>
      <c r="N49" s="2"/>
      <c r="O49" s="2"/>
    </row>
    <row r="50" spans="1:15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  <c r="K50" s="2"/>
      <c r="L50" s="2"/>
      <c r="M50" s="2"/>
      <c r="N50" s="2"/>
      <c r="O50" s="2"/>
    </row>
    <row r="51" spans="1:15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  <c r="K51" s="2"/>
      <c r="L51" s="2"/>
      <c r="M51" s="2"/>
      <c r="N51" s="2"/>
      <c r="O51" s="2"/>
    </row>
    <row r="52" spans="1:15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  <c r="K52" s="2"/>
      <c r="L52" s="2"/>
      <c r="M52" s="2"/>
      <c r="N52" s="2"/>
      <c r="O52" s="2"/>
    </row>
    <row r="53" spans="1:15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  <c r="K53" s="2"/>
      <c r="L53" s="2"/>
      <c r="M53" s="2"/>
      <c r="N53" s="2"/>
      <c r="O53" s="2"/>
    </row>
    <row r="54" spans="1:15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5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5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5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5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5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5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5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5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5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5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>C125/(24*60)</f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  <row r="126" spans="1:8" x14ac:dyDescent="0.15">
      <c r="A126" s="1">
        <v>45963</v>
      </c>
      <c r="B126" t="s">
        <v>2</v>
      </c>
      <c r="C126" s="5">
        <f>16211/126</f>
        <v>128.65873015873015</v>
      </c>
      <c r="D126" s="4">
        <f>C126/(24*60)</f>
        <v>8.9346340388007053E-2</v>
      </c>
      <c r="E126" s="5">
        <f>8785.66/126</f>
        <v>69.727460317460313</v>
      </c>
      <c r="F126" s="5">
        <f>2861.71/126</f>
        <v>22.711984126984127</v>
      </c>
      <c r="G126" s="5">
        <f>8785.66/(16211/126)</f>
        <v>68.286543704891741</v>
      </c>
      <c r="H126" s="5">
        <f>368/126</f>
        <v>2.9206349206349205</v>
      </c>
    </row>
    <row r="127" spans="1:8" x14ac:dyDescent="0.15">
      <c r="A127" s="1">
        <v>45963</v>
      </c>
      <c r="B127" t="s">
        <v>3</v>
      </c>
      <c r="C127" s="5">
        <f>6514/36</f>
        <v>180.94444444444446</v>
      </c>
      <c r="D127" s="4">
        <f>C127/(24*60)</f>
        <v>0.12565586419753089</v>
      </c>
      <c r="E127" s="5">
        <f>4392.14/36</f>
        <v>122.00388888888889</v>
      </c>
      <c r="F127" s="5">
        <f>1125.26/36</f>
        <v>31.257222222222222</v>
      </c>
      <c r="G127" s="5">
        <f>4392.14/(6514/60)</f>
        <v>40.455695425237955</v>
      </c>
      <c r="H127" s="5">
        <f>160/36</f>
        <v>4.4444444444444446</v>
      </c>
    </row>
    <row r="128" spans="1:8" x14ac:dyDescent="0.15">
      <c r="A128" s="1">
        <v>45964</v>
      </c>
      <c r="B128" t="s">
        <v>2</v>
      </c>
      <c r="C128" s="5">
        <f>17725/126</f>
        <v>140.67460317460316</v>
      </c>
      <c r="D128" s="4">
        <f>C128/(24*60)</f>
        <v>9.7690696649029976E-2</v>
      </c>
      <c r="E128" s="5">
        <f>9515.19/126</f>
        <v>75.517380952380961</v>
      </c>
      <c r="F128" s="5">
        <f>3163.72/126</f>
        <v>25.108888888888888</v>
      </c>
      <c r="G128" s="5">
        <f>9515.19/(17725/60)</f>
        <v>32.209387870239773</v>
      </c>
      <c r="H128" s="5">
        <f>403/126</f>
        <v>3.1984126984126986</v>
      </c>
    </row>
    <row r="129" spans="1:8" x14ac:dyDescent="0.15">
      <c r="A129" s="1">
        <v>45964</v>
      </c>
      <c r="B129" t="s">
        <v>3</v>
      </c>
      <c r="C129" s="5">
        <f>5741/36</f>
        <v>159.47222222222223</v>
      </c>
      <c r="D129" s="4">
        <f>C129/(24*60)</f>
        <v>0.11074459876543211</v>
      </c>
      <c r="E129" s="5">
        <f>3710.22/36</f>
        <v>103.06166666666667</v>
      </c>
      <c r="F129" s="5">
        <f>1016.93/36</f>
        <v>28.248055555555553</v>
      </c>
      <c r="G129" s="5">
        <f>3710.22/(5741/60)</f>
        <v>38.776032050165476</v>
      </c>
      <c r="H129" s="5">
        <f>137/36</f>
        <v>3.8055555555555554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2025-11-04T00:25:13Z</dcterms:modified>
</cp:coreProperties>
</file>