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52511"/>
</workbook>
</file>

<file path=xl/calcChain.xml><?xml version="1.0" encoding="utf-8"?>
<calcChain xmlns="http://schemas.openxmlformats.org/spreadsheetml/2006/main">
  <c r="F99" i="3" l="1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98" i="3"/>
  <c r="E33" i="1" l="1"/>
  <c r="D33" i="1"/>
  <c r="F33" i="1" s="1"/>
  <c r="C33" i="1"/>
  <c r="E21" i="1" l="1"/>
  <c r="D21" i="1"/>
  <c r="F21" i="1" s="1"/>
  <c r="C21" i="1"/>
  <c r="G22" i="1" l="1"/>
  <c r="F89" i="3" l="1"/>
  <c r="F90" i="3"/>
  <c r="F91" i="3"/>
  <c r="F92" i="3"/>
  <c r="F93" i="3"/>
  <c r="F94" i="3"/>
  <c r="F95" i="3"/>
  <c r="F96" i="3"/>
  <c r="F97" i="3"/>
  <c r="F88" i="3"/>
  <c r="F87" i="3"/>
  <c r="F81" i="3" l="1"/>
  <c r="F82" i="3"/>
  <c r="F83" i="3"/>
  <c r="F84" i="3"/>
  <c r="F85" i="3"/>
  <c r="F86" i="3"/>
  <c r="F80" i="3"/>
  <c r="F73" i="3"/>
  <c r="F74" i="3"/>
  <c r="F75" i="3"/>
  <c r="F76" i="3"/>
  <c r="F77" i="3"/>
  <c r="F78" i="3"/>
  <c r="F79" i="3"/>
  <c r="F72" i="3"/>
  <c r="F65" i="3"/>
  <c r="F66" i="3"/>
  <c r="F67" i="3"/>
  <c r="F68" i="3"/>
  <c r="F69" i="3"/>
  <c r="F70" i="3"/>
  <c r="F71" i="3"/>
  <c r="F64" i="3"/>
  <c r="F57" i="3"/>
  <c r="F58" i="3"/>
  <c r="F59" i="3"/>
  <c r="F60" i="3"/>
  <c r="F61" i="3"/>
  <c r="F62" i="3"/>
  <c r="F63" i="3"/>
  <c r="F56" i="3"/>
  <c r="F49" i="3"/>
  <c r="F50" i="3"/>
  <c r="F51" i="3"/>
  <c r="F52" i="3"/>
  <c r="F53" i="3"/>
  <c r="F54" i="3"/>
  <c r="F55" i="3"/>
  <c r="F48" i="3"/>
  <c r="F41" i="3"/>
  <c r="F42" i="3"/>
  <c r="F43" i="3"/>
  <c r="F44" i="3"/>
  <c r="F45" i="3"/>
  <c r="F46" i="3"/>
  <c r="F47" i="3"/>
  <c r="F40" i="3"/>
  <c r="F33" i="3"/>
  <c r="F34" i="3"/>
  <c r="F35" i="3"/>
  <c r="F36" i="3"/>
  <c r="F37" i="3"/>
  <c r="F38" i="3"/>
  <c r="F39" i="3"/>
  <c r="F32" i="3"/>
  <c r="F23" i="3" l="1"/>
  <c r="F24" i="3"/>
  <c r="F25" i="3"/>
  <c r="F26" i="3"/>
  <c r="F27" i="3"/>
  <c r="F28" i="3"/>
  <c r="F29" i="3"/>
  <c r="F30" i="3"/>
  <c r="F31" i="3"/>
  <c r="F22" i="3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" i="3"/>
  <c r="F90" i="1" l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8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2" i="1"/>
  <c r="F23" i="1"/>
  <c r="F24" i="1"/>
  <c r="F25" i="1"/>
  <c r="F26" i="1"/>
  <c r="F27" i="1"/>
  <c r="F28" i="1"/>
  <c r="F29" i="1"/>
  <c r="F30" i="1"/>
  <c r="F31" i="1"/>
  <c r="F32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2" i="1"/>
</calcChain>
</file>

<file path=xl/sharedStrings.xml><?xml version="1.0" encoding="utf-8"?>
<sst xmlns="http://schemas.openxmlformats.org/spreadsheetml/2006/main" count="712" uniqueCount="171">
  <si>
    <t>充电时间</t>
  </si>
  <si>
    <t>充电量(kw)</t>
  </si>
  <si>
    <t>充电电费(元)</t>
  </si>
  <si>
    <t>充电服务费(元)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</si>
  <si>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</si>
  <si>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</si>
  <si>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</si>
  <si>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</si>
  <si>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</si>
  <si>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</si>
  <si>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</si>
  <si>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</si>
  <si>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</si>
  <si>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</si>
  <si>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</si>
  <si>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</si>
  <si>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</si>
  <si>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</si>
  <si>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</si>
  <si>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</si>
  <si>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</si>
  <si>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</si>
  <si>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</si>
  <si>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</si>
  <si>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</si>
  <si>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</si>
  <si>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</si>
  <si>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</si>
  <si>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</si>
  <si>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</si>
  <si>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</si>
  <si>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</si>
  <si>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</si>
  <si>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</si>
  <si>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</si>
  <si>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</si>
  <si>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</si>
  <si>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</si>
  <si>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</si>
  <si>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</si>
  <si>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</si>
  <si>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</si>
  <si>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</si>
  <si>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</si>
  <si>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</si>
  <si>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</si>
  <si>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</si>
  <si>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</si>
  <si>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</si>
  <si>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</si>
  <si>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</si>
  <si>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</si>
  <si>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</si>
  <si>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</si>
  <si>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</si>
  <si>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</si>
  <si>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</si>
  <si>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</si>
  <si>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</si>
  <si>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</si>
  <si>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</si>
  <si>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</si>
  <si>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</si>
  <si>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</si>
  <si>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</si>
  <si>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</si>
  <si>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</si>
  <si>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</si>
  <si>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</si>
  <si>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</si>
  <si>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</si>
  <si>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</si>
  <si>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</si>
  <si>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</si>
  <si>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</si>
  <si>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</si>
  <si>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</si>
  <si>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</si>
  <si>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</si>
  <si>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</si>
  <si>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</si>
  <si>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</si>
  <si>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</si>
  <si>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</si>
  <si>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</si>
  <si>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</si>
  <si>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</si>
  <si>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</si>
  <si>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</si>
  <si>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</si>
  <si>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</si>
  <si>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站点</t>
    <phoneticPr fontId="1" type="noConversion"/>
  </si>
  <si>
    <t>四方坪站</t>
    <phoneticPr fontId="1" type="noConversion"/>
  </si>
  <si>
    <t>总订单数量</t>
    <phoneticPr fontId="1" type="noConversion"/>
  </si>
  <si>
    <t>充电总收入(元)</t>
    <phoneticPr fontId="1" type="noConversion"/>
  </si>
  <si>
    <t>高岭站</t>
    <phoneticPr fontId="1" type="noConversion"/>
  </si>
  <si>
    <t>2025-09</t>
  </si>
  <si>
    <t>四方坪站</t>
  </si>
  <si>
    <t>高岭站</t>
  </si>
  <si>
    <t>高岭站</t>
    <phoneticPr fontId="1" type="noConversion"/>
  </si>
  <si>
    <t>时间</t>
  </si>
  <si>
    <t>时间</t>
    <phoneticPr fontId="1" type="noConversion"/>
  </si>
  <si>
    <t>充电电量(kw)</t>
  </si>
  <si>
    <t>充电电量(kw)</t>
    <phoneticPr fontId="1" type="noConversion"/>
  </si>
  <si>
    <t>充电费用(元)</t>
  </si>
  <si>
    <t>订单数量</t>
  </si>
  <si>
    <t>用户分类</t>
    <phoneticPr fontId="1" type="noConversion"/>
  </si>
  <si>
    <t>大巴</t>
  </si>
  <si>
    <t>公务用车</t>
  </si>
  <si>
    <t>私家车</t>
  </si>
  <si>
    <t>特种车</t>
  </si>
  <si>
    <t>未知</t>
  </si>
  <si>
    <t>物流车</t>
  </si>
  <si>
    <t>主机厂</t>
  </si>
  <si>
    <t>个人</t>
  </si>
  <si>
    <t>企业</t>
  </si>
  <si>
    <t>车辆分类</t>
    <phoneticPr fontId="1" type="noConversion"/>
  </si>
  <si>
    <t>的士</t>
  </si>
  <si>
    <t>油电混合车辆</t>
  </si>
  <si>
    <t>黄牌充电车辆</t>
  </si>
  <si>
    <t>未录入车牌</t>
    <phoneticPr fontId="1" type="noConversion"/>
  </si>
  <si>
    <t>电站名称</t>
  </si>
  <si>
    <t>终端名称</t>
  </si>
  <si>
    <t>312号直流</t>
  </si>
  <si>
    <t>301号直流</t>
  </si>
  <si>
    <t>306号直流</t>
  </si>
  <si>
    <t>309号直流</t>
  </si>
  <si>
    <t>204号直流</t>
  </si>
  <si>
    <t>311号直流</t>
  </si>
  <si>
    <t>310号直流</t>
  </si>
  <si>
    <t>202号直流</t>
  </si>
  <si>
    <t>302号直流</t>
  </si>
  <si>
    <t>308号直流</t>
  </si>
  <si>
    <t>601号直流</t>
  </si>
  <si>
    <t>305号直流</t>
  </si>
  <si>
    <t>303号直流</t>
  </si>
  <si>
    <t>304号直流</t>
  </si>
  <si>
    <t>007A号直流</t>
  </si>
  <si>
    <t>307号直流</t>
  </si>
  <si>
    <t>602号直流</t>
  </si>
  <si>
    <t>504号直流</t>
  </si>
  <si>
    <t>201号直流</t>
  </si>
  <si>
    <t>101号直流</t>
  </si>
  <si>
    <t>东区充电站</t>
  </si>
  <si>
    <t>南区充电站</t>
  </si>
  <si>
    <t>高岭充电站</t>
  </si>
  <si>
    <t>充电电量(kw)</t>
    <phoneticPr fontId="1" type="noConversion"/>
  </si>
  <si>
    <t>平均日充电电量(kw)</t>
    <phoneticPr fontId="1" type="noConversion"/>
  </si>
  <si>
    <t>网约车</t>
    <phoneticPr fontId="1" type="noConversion"/>
  </si>
  <si>
    <t>没有车牌</t>
  </si>
  <si>
    <t>网约车</t>
  </si>
  <si>
    <t>互联网平台</t>
  </si>
  <si>
    <t>分时租赁</t>
  </si>
  <si>
    <t>出租车</t>
  </si>
  <si>
    <t>501号直流</t>
  </si>
  <si>
    <t>集团用户</t>
  </si>
  <si>
    <t>211号直流</t>
  </si>
  <si>
    <t>其他车辆</t>
  </si>
  <si>
    <t>站点</t>
  </si>
  <si>
    <t>高岭</t>
  </si>
  <si>
    <t>四方坪东区</t>
  </si>
  <si>
    <t>四方坪南区</t>
  </si>
  <si>
    <t>四方坪西区</t>
  </si>
  <si>
    <t>2025-10</t>
  </si>
  <si>
    <t>高岭充电站</t>
    <phoneticPr fontId="1" type="noConversion"/>
  </si>
  <si>
    <t>东区充电站</t>
    <phoneticPr fontId="1" type="noConversion"/>
  </si>
  <si>
    <t>2025-11</t>
  </si>
  <si>
    <t>212号直流</t>
  </si>
  <si>
    <t>高岭充电站</t>
    <phoneticPr fontId="1" type="noConversion"/>
  </si>
  <si>
    <t>南区充电站</t>
    <phoneticPr fontId="1" type="noConversion"/>
  </si>
  <si>
    <t>2025-12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</si>
</sst>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0.00%"/>
    <numFmt numFmtId="177" formatCode="yyyy/mm"/>
    <numFmt numFmtId="178" formatCode="0.00_ "/>
    <numFmt numFmtId="179" formatCode="0.00_);[Red]\(0.00\)"/>
    <numFmt numFmtId="180" formatCode="#,##0.0000000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14" fontId="0" fillId="0" borderId="0" xfId="0" applyNumberFormat="1" applyAlignment="1">
      <alignment vertical="center"/>
    </xf>
    <xf numFmtId="177" fontId="0" fillId="0" borderId="0" xfId="0" applyNumberFormat="1"/>
    <xf numFmtId="0" fontId="0" fillId="0" borderId="1" xfId="0" applyBorder="1" applyAlignment="1">
      <alignment horizontal="center"/>
    </xf>
    <xf numFmtId="177" fontId="0" fillId="0" borderId="1" xfId="0" applyNumberFormat="1" applyBorder="1" applyAlignment="1">
      <alignment horizontal="center"/>
    </xf>
    <xf numFmtId="177" fontId="0" fillId="0" borderId="1" xfId="0" applyNumberFormat="1" applyBorder="1" applyAlignment="1">
      <alignment horizontal="center" vertical="center"/>
    </xf>
    <xf numFmtId="177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178" fontId="0" fillId="0" borderId="1" xfId="0" applyNumberFormat="1" applyBorder="1" applyAlignment="1">
      <alignment horizontal="center"/>
    </xf>
    <xf numFmtId="178" fontId="0" fillId="0" borderId="1" xfId="0" applyNumberFormat="1" applyBorder="1" applyAlignment="1">
      <alignment horizontal="center" vertical="center"/>
    </xf>
    <xf numFmtId="179" fontId="0" fillId="0" borderId="1" xfId="0" applyNumberFormat="1" applyFill="1" applyBorder="1" applyAlignment="1">
      <alignment horizontal="center" vertical="center"/>
    </xf>
    <xf numFmtId="179" fontId="0" fillId="0" borderId="1" xfId="0" applyNumberFormat="1" applyBorder="1" applyAlignment="1">
      <alignment horizontal="center"/>
    </xf>
    <xf numFmtId="179" fontId="0" fillId="0" borderId="1" xfId="0" applyNumberFormat="1" applyBorder="1" applyAlignment="1">
      <alignment horizontal="center" vertical="center"/>
    </xf>
    <xf numFmtId="179" fontId="0" fillId="0" borderId="0" xfId="0" applyNumberFormat="1"/>
    <xf numFmtId="178" fontId="0" fillId="0" borderId="1" xfId="0" applyNumberFormat="1" applyFill="1" applyBorder="1" applyAlignment="1">
      <alignment horizontal="center" vertical="center"/>
    </xf>
    <xf numFmtId="178" fontId="0" fillId="0" borderId="0" xfId="0" applyNumberFormat="1"/>
    <xf numFmtId="177" fontId="0" fillId="0" borderId="3" xfId="0" applyNumberFormat="1" applyBorder="1" applyAlignment="1">
      <alignment horizontal="center" vertical="center"/>
    </xf>
    <xf numFmtId="180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N438"/>
  <sheetViews>
    <sheetView tabSelected="1" topLeftCell="A87" workbookViewId="0">
      <selection activeCell="C123" sqref="C123"/>
    </sheetView>
  </sheetViews>
  <sheetFormatPr defaultRowHeight="13.5" x14ac:dyDescent="0.15"/>
  <cols>
    <col min="1" max="1" width="9.75" style="5" bestFit="1" customWidth="1"/>
    <col min="2" max="2" width="9.75" style="5" customWidth="1"/>
    <col min="3" max="3" width="12.75" style="2" bestFit="1" customWidth="1"/>
    <col min="4" max="4" width="14.375" style="2" bestFit="1" customWidth="1"/>
    <col min="5" max="5" width="16.625" style="3" bestFit="1" customWidth="1"/>
    <col min="6" max="6" width="16.625" style="3" customWidth="1"/>
    <col min="7" max="7" width="15.125" style="3" customWidth="1"/>
    <col min="8" max="8" width="22.75" style="24" customWidth="1"/>
    <col min="9" max="9" width="25" style="24" bestFit="1" customWidth="1"/>
    <col min="10" max="10" width="14.125" style="2" customWidth="1"/>
    <col min="11" max="14" width="25" style="2" bestFit="1" customWidth="1"/>
    <col min="15" max="16384" width="9" style="2"/>
  </cols>
  <sheetData>
    <row r="1" spans="1:14" x14ac:dyDescent="0.15">
      <c r="A1" s="4" t="s">
        <v>0</v>
      </c>
      <c r="B1" s="4" t="s">
        <v>91</v>
      </c>
      <c r="C1" s="1" t="s">
        <v>1</v>
      </c>
      <c r="D1" s="1" t="s">
        <v>2</v>
      </c>
      <c r="E1" s="1" t="s">
        <v>3</v>
      </c>
      <c r="F1" s="1" t="s">
        <v>94</v>
      </c>
      <c r="G1" s="1" t="s">
        <v>93</v>
      </c>
    </row>
    <row r="2" spans="1:14" x14ac:dyDescent="0.15">
      <c r="A2" s="4" t="s">
        <v>4</v>
      </c>
      <c r="B2" s="4" t="s">
        <v>92</v>
      </c>
      <c r="C2" s="1">
        <v>276.08</v>
      </c>
      <c r="D2" s="1">
        <v>654.5</v>
      </c>
      <c r="E2" s="1">
        <v>634.44000000000005</v>
      </c>
      <c r="F2" s="1">
        <f>D2+E2</f>
        <v>1288.94</v>
      </c>
      <c r="G2" s="1">
        <v>34</v>
      </c>
    </row>
    <row r="3" spans="1:14" x14ac:dyDescent="0.15">
      <c r="A3" s="4" t="s">
        <v>5</v>
      </c>
      <c r="B3" s="4" t="s">
        <v>92</v>
      </c>
      <c r="C3" s="1">
        <v>60171.720000000074</v>
      </c>
      <c r="D3" s="1">
        <v>38642.82</v>
      </c>
      <c r="E3" s="1">
        <v>37413.300000000003</v>
      </c>
      <c r="F3" s="1">
        <f t="shared" ref="F3:F66" si="0">D3+E3</f>
        <v>76056.12</v>
      </c>
      <c r="G3" s="1">
        <v>2005</v>
      </c>
    </row>
    <row r="4" spans="1:14" x14ac:dyDescent="0.15">
      <c r="A4" s="4" t="s">
        <v>6</v>
      </c>
      <c r="B4" s="4" t="s">
        <v>92</v>
      </c>
      <c r="C4" s="1">
        <v>61781.849999999962</v>
      </c>
      <c r="D4" s="1">
        <v>39438.92</v>
      </c>
      <c r="E4" s="1">
        <v>38439.730000000003</v>
      </c>
      <c r="F4" s="1">
        <f t="shared" si="0"/>
        <v>77878.649999999994</v>
      </c>
      <c r="G4" s="1">
        <v>2065</v>
      </c>
    </row>
    <row r="5" spans="1:14" x14ac:dyDescent="0.15">
      <c r="A5" s="4" t="s">
        <v>7</v>
      </c>
      <c r="B5" s="4" t="s">
        <v>92</v>
      </c>
      <c r="C5" s="1">
        <v>94676.269999999713</v>
      </c>
      <c r="D5" s="1">
        <v>59229.32</v>
      </c>
      <c r="E5" s="1">
        <v>63442</v>
      </c>
      <c r="F5" s="1">
        <f t="shared" si="0"/>
        <v>122671.32</v>
      </c>
      <c r="G5" s="1">
        <v>3418</v>
      </c>
      <c r="J5" s="23"/>
      <c r="K5" s="23"/>
      <c r="L5" s="23"/>
      <c r="M5" s="23"/>
      <c r="N5" s="23"/>
    </row>
    <row r="6" spans="1:14" x14ac:dyDescent="0.15">
      <c r="A6" s="4" t="s">
        <v>8</v>
      </c>
      <c r="B6" s="4" t="s">
        <v>92</v>
      </c>
      <c r="C6" s="1">
        <v>120954.96999999981</v>
      </c>
      <c r="D6" s="1">
        <v>72148.5</v>
      </c>
      <c r="E6" s="1">
        <v>85693.06</v>
      </c>
      <c r="F6" s="1">
        <f t="shared" si="0"/>
        <v>157841.56</v>
      </c>
      <c r="G6" s="1">
        <v>4226</v>
      </c>
    </row>
    <row r="7" spans="1:14" x14ac:dyDescent="0.15">
      <c r="A7" s="4" t="s">
        <v>9</v>
      </c>
      <c r="B7" s="4" t="s">
        <v>92</v>
      </c>
      <c r="C7" s="1">
        <v>133453.96999999997</v>
      </c>
      <c r="D7" s="1">
        <v>76670.38</v>
      </c>
      <c r="E7" s="1">
        <v>87111.82</v>
      </c>
      <c r="F7" s="1">
        <f t="shared" si="0"/>
        <v>163782.20000000001</v>
      </c>
      <c r="G7" s="1">
        <v>4606</v>
      </c>
      <c r="K7" s="23"/>
      <c r="L7" s="23"/>
    </row>
    <row r="8" spans="1:14" x14ac:dyDescent="0.15">
      <c r="A8" s="4" t="s">
        <v>10</v>
      </c>
      <c r="B8" s="4" t="s">
        <v>92</v>
      </c>
      <c r="C8" s="1">
        <v>155310.13000000009</v>
      </c>
      <c r="D8" s="1">
        <v>92425.22</v>
      </c>
      <c r="E8" s="1">
        <v>106788.53</v>
      </c>
      <c r="F8" s="1">
        <f t="shared" si="0"/>
        <v>199213.75</v>
      </c>
      <c r="G8" s="1">
        <v>5730</v>
      </c>
    </row>
    <row r="9" spans="1:14" x14ac:dyDescent="0.15">
      <c r="A9" s="4" t="s">
        <v>11</v>
      </c>
      <c r="B9" s="4" t="s">
        <v>92</v>
      </c>
      <c r="C9" s="1">
        <v>140296.57000000015</v>
      </c>
      <c r="D9" s="1">
        <v>83517.259999999995</v>
      </c>
      <c r="E9" s="1">
        <v>94718.47</v>
      </c>
      <c r="F9" s="1">
        <f t="shared" si="0"/>
        <v>178235.72999999998</v>
      </c>
      <c r="G9" s="1">
        <v>5459</v>
      </c>
    </row>
    <row r="10" spans="1:14" x14ac:dyDescent="0.15">
      <c r="A10" s="4" t="s">
        <v>12</v>
      </c>
      <c r="B10" s="4" t="s">
        <v>92</v>
      </c>
      <c r="C10" s="1">
        <v>90221.229999999938</v>
      </c>
      <c r="D10" s="1">
        <v>55093.98</v>
      </c>
      <c r="E10" s="1">
        <v>61541.57</v>
      </c>
      <c r="F10" s="1">
        <f t="shared" si="0"/>
        <v>116635.55</v>
      </c>
      <c r="G10" s="1">
        <v>3517</v>
      </c>
    </row>
    <row r="11" spans="1:14" x14ac:dyDescent="0.15">
      <c r="A11" s="4" t="s">
        <v>13</v>
      </c>
      <c r="B11" s="4" t="s">
        <v>92</v>
      </c>
      <c r="C11" s="1">
        <v>128259.44000000009</v>
      </c>
      <c r="D11" s="1">
        <v>73582.149999999994</v>
      </c>
      <c r="E11" s="1">
        <v>79932.3</v>
      </c>
      <c r="F11" s="1">
        <f t="shared" si="0"/>
        <v>153514.45000000001</v>
      </c>
      <c r="G11" s="1">
        <v>4993</v>
      </c>
    </row>
    <row r="12" spans="1:14" x14ac:dyDescent="0.15">
      <c r="A12" s="4" t="s">
        <v>14</v>
      </c>
      <c r="B12" s="4" t="s">
        <v>92</v>
      </c>
      <c r="C12" s="1">
        <v>186518.22000000032</v>
      </c>
      <c r="D12" s="1">
        <v>103169.46</v>
      </c>
      <c r="E12" s="1">
        <v>108131.88</v>
      </c>
      <c r="F12" s="1">
        <f t="shared" si="0"/>
        <v>211301.34000000003</v>
      </c>
      <c r="G12" s="1">
        <v>7362</v>
      </c>
    </row>
    <row r="13" spans="1:14" x14ac:dyDescent="0.15">
      <c r="A13" s="4" t="s">
        <v>15</v>
      </c>
      <c r="B13" s="4" t="s">
        <v>92</v>
      </c>
      <c r="C13" s="1">
        <v>208195.52000000005</v>
      </c>
      <c r="D13" s="1">
        <v>113878.18</v>
      </c>
      <c r="E13" s="1">
        <v>121032.03</v>
      </c>
      <c r="F13" s="1">
        <f t="shared" si="0"/>
        <v>234910.21</v>
      </c>
      <c r="G13" s="1">
        <v>8046</v>
      </c>
    </row>
    <row r="14" spans="1:14" x14ac:dyDescent="0.15">
      <c r="A14" s="4" t="s">
        <v>16</v>
      </c>
      <c r="B14" s="4" t="s">
        <v>92</v>
      </c>
      <c r="C14" s="1">
        <v>207321.07999999955</v>
      </c>
      <c r="D14" s="1">
        <v>114201.19</v>
      </c>
      <c r="E14" s="1">
        <v>120588.72</v>
      </c>
      <c r="F14" s="1">
        <f t="shared" si="0"/>
        <v>234789.91</v>
      </c>
      <c r="G14" s="1">
        <v>7605</v>
      </c>
    </row>
    <row r="15" spans="1:14" x14ac:dyDescent="0.15">
      <c r="A15" s="4" t="s">
        <v>17</v>
      </c>
      <c r="B15" s="4" t="s">
        <v>92</v>
      </c>
      <c r="C15" s="1">
        <v>223550.75999999975</v>
      </c>
      <c r="D15" s="1">
        <v>124913.2</v>
      </c>
      <c r="E15" s="1">
        <v>126471.24</v>
      </c>
      <c r="F15" s="1">
        <f t="shared" si="0"/>
        <v>251384.44</v>
      </c>
      <c r="G15" s="1">
        <v>7980</v>
      </c>
    </row>
    <row r="16" spans="1:14" x14ac:dyDescent="0.15">
      <c r="A16" s="4" t="s">
        <v>18</v>
      </c>
      <c r="B16" s="4" t="s">
        <v>92</v>
      </c>
      <c r="C16" s="1">
        <v>223592.69999999914</v>
      </c>
      <c r="D16" s="1">
        <v>125347.92</v>
      </c>
      <c r="E16" s="1">
        <v>126365.75</v>
      </c>
      <c r="F16" s="1">
        <f t="shared" si="0"/>
        <v>251713.66999999998</v>
      </c>
      <c r="G16" s="1">
        <v>8012</v>
      </c>
    </row>
    <row r="17" spans="1:7" x14ac:dyDescent="0.15">
      <c r="A17" s="4" t="s">
        <v>19</v>
      </c>
      <c r="B17" s="4" t="s">
        <v>92</v>
      </c>
      <c r="C17" s="1">
        <v>188241.87999999995</v>
      </c>
      <c r="D17" s="1">
        <v>104563.33</v>
      </c>
      <c r="E17" s="1">
        <v>94897.57</v>
      </c>
      <c r="F17" s="1">
        <f t="shared" si="0"/>
        <v>199460.90000000002</v>
      </c>
      <c r="G17" s="1">
        <v>6863</v>
      </c>
    </row>
    <row r="18" spans="1:7" x14ac:dyDescent="0.15">
      <c r="A18" s="4" t="s">
        <v>20</v>
      </c>
      <c r="B18" s="4" t="s">
        <v>92</v>
      </c>
      <c r="C18" s="1">
        <v>238037.90999999945</v>
      </c>
      <c r="D18" s="1">
        <v>140245.99</v>
      </c>
      <c r="E18" s="1">
        <v>75526.679999999993</v>
      </c>
      <c r="F18" s="1">
        <f t="shared" si="0"/>
        <v>215772.66999999998</v>
      </c>
      <c r="G18" s="1">
        <v>8646</v>
      </c>
    </row>
    <row r="19" spans="1:7" x14ac:dyDescent="0.15">
      <c r="A19" s="4" t="s">
        <v>21</v>
      </c>
      <c r="B19" s="4" t="s">
        <v>92</v>
      </c>
      <c r="C19" s="1">
        <v>291934.4999999986</v>
      </c>
      <c r="D19" s="1">
        <v>168966.72</v>
      </c>
      <c r="E19" s="1">
        <v>133853.73000000001</v>
      </c>
      <c r="F19" s="1">
        <f t="shared" si="0"/>
        <v>302820.45</v>
      </c>
      <c r="G19" s="1">
        <v>10365</v>
      </c>
    </row>
    <row r="20" spans="1:7" x14ac:dyDescent="0.15">
      <c r="A20" s="4" t="s">
        <v>22</v>
      </c>
      <c r="B20" s="4" t="s">
        <v>92</v>
      </c>
      <c r="C20" s="1">
        <v>361481.67000000144</v>
      </c>
      <c r="D20" s="1">
        <v>211825.26</v>
      </c>
      <c r="E20" s="1">
        <v>155544.54999999999</v>
      </c>
      <c r="F20" s="1">
        <f t="shared" si="0"/>
        <v>367369.81</v>
      </c>
      <c r="G20" s="1">
        <v>13300</v>
      </c>
    </row>
    <row r="21" spans="1:7" x14ac:dyDescent="0.15">
      <c r="A21" s="4" t="s">
        <v>23</v>
      </c>
      <c r="B21" s="4" t="s">
        <v>92</v>
      </c>
      <c r="C21" s="18">
        <f>324029.82</f>
        <v>324029.82</v>
      </c>
      <c r="D21" s="1">
        <f>197844.56</f>
        <v>197844.56</v>
      </c>
      <c r="E21" s="1">
        <f>135800.85</f>
        <v>135800.85</v>
      </c>
      <c r="F21" s="18">
        <f>D21+E21</f>
        <v>333645.41000000003</v>
      </c>
      <c r="G21" s="1">
        <v>12238</v>
      </c>
    </row>
    <row r="22" spans="1:7" x14ac:dyDescent="0.15">
      <c r="A22" s="4" t="s">
        <v>24</v>
      </c>
      <c r="B22" s="4" t="s">
        <v>92</v>
      </c>
      <c r="C22" s="1">
        <v>71232.629999999859</v>
      </c>
      <c r="D22" s="1">
        <v>47595.86</v>
      </c>
      <c r="E22" s="1">
        <v>29802.49</v>
      </c>
      <c r="F22" s="1">
        <f t="shared" si="0"/>
        <v>77398.350000000006</v>
      </c>
      <c r="G22" s="1">
        <f>2757+3</f>
        <v>2760</v>
      </c>
    </row>
    <row r="23" spans="1:7" x14ac:dyDescent="0.15">
      <c r="A23" s="4" t="s">
        <v>25</v>
      </c>
      <c r="B23" s="4" t="s">
        <v>92</v>
      </c>
      <c r="C23" s="1">
        <v>171210.18000000034</v>
      </c>
      <c r="D23" s="1">
        <v>107469.99</v>
      </c>
      <c r="E23" s="1">
        <v>71667.56</v>
      </c>
      <c r="F23" s="1">
        <f t="shared" si="0"/>
        <v>179137.55</v>
      </c>
      <c r="G23" s="1">
        <v>6984</v>
      </c>
    </row>
    <row r="24" spans="1:7" x14ac:dyDescent="0.15">
      <c r="A24" s="4" t="s">
        <v>26</v>
      </c>
      <c r="B24" s="4" t="s">
        <v>92</v>
      </c>
      <c r="C24" s="1">
        <v>221773.39000000004</v>
      </c>
      <c r="D24" s="1">
        <v>132713.13</v>
      </c>
      <c r="E24" s="1">
        <v>88196.06</v>
      </c>
      <c r="F24" s="1">
        <f t="shared" si="0"/>
        <v>220909.19</v>
      </c>
      <c r="G24" s="1">
        <v>8829</v>
      </c>
    </row>
    <row r="25" spans="1:7" x14ac:dyDescent="0.15">
      <c r="A25" s="4" t="s">
        <v>27</v>
      </c>
      <c r="B25" s="4" t="s">
        <v>92</v>
      </c>
      <c r="C25" s="1">
        <v>209015.27000000031</v>
      </c>
      <c r="D25" s="1">
        <v>124598.26</v>
      </c>
      <c r="E25" s="1">
        <v>88026.15</v>
      </c>
      <c r="F25" s="1">
        <f t="shared" si="0"/>
        <v>212624.40999999997</v>
      </c>
      <c r="G25" s="1">
        <v>8380</v>
      </c>
    </row>
    <row r="26" spans="1:7" x14ac:dyDescent="0.15">
      <c r="A26" s="4" t="s">
        <v>28</v>
      </c>
      <c r="B26" s="4" t="s">
        <v>92</v>
      </c>
      <c r="C26" s="1">
        <v>266563.71000000072</v>
      </c>
      <c r="D26" s="1">
        <v>159988.39000000001</v>
      </c>
      <c r="E26" s="1">
        <v>102138.1</v>
      </c>
      <c r="F26" s="1">
        <f t="shared" si="0"/>
        <v>262126.49000000002</v>
      </c>
      <c r="G26" s="1">
        <v>9943</v>
      </c>
    </row>
    <row r="27" spans="1:7" x14ac:dyDescent="0.15">
      <c r="A27" s="4" t="s">
        <v>29</v>
      </c>
      <c r="B27" s="4" t="s">
        <v>92</v>
      </c>
      <c r="C27" s="1">
        <v>277446.12999999971</v>
      </c>
      <c r="D27" s="1">
        <v>164516.16</v>
      </c>
      <c r="E27" s="1">
        <v>108454.95</v>
      </c>
      <c r="F27" s="1">
        <f t="shared" si="0"/>
        <v>272971.11</v>
      </c>
      <c r="G27" s="1">
        <v>10042</v>
      </c>
    </row>
    <row r="28" spans="1:7" x14ac:dyDescent="0.15">
      <c r="A28" s="4" t="s">
        <v>30</v>
      </c>
      <c r="B28" s="4" t="s">
        <v>92</v>
      </c>
      <c r="C28" s="1">
        <v>388725.31999999826</v>
      </c>
      <c r="D28" s="1">
        <v>234558.72</v>
      </c>
      <c r="E28" s="1">
        <v>142530.54</v>
      </c>
      <c r="F28" s="1">
        <f t="shared" si="0"/>
        <v>377089.26</v>
      </c>
      <c r="G28" s="1">
        <v>13900</v>
      </c>
    </row>
    <row r="29" spans="1:7" x14ac:dyDescent="0.15">
      <c r="A29" s="4" t="s">
        <v>31</v>
      </c>
      <c r="B29" s="4" t="s">
        <v>92</v>
      </c>
      <c r="C29" s="1">
        <v>327347.20000000001</v>
      </c>
      <c r="D29" s="1">
        <v>194019.39</v>
      </c>
      <c r="E29" s="1">
        <v>119719.85</v>
      </c>
      <c r="F29" s="1">
        <f t="shared" si="0"/>
        <v>313739.24</v>
      </c>
      <c r="G29" s="1">
        <v>12351</v>
      </c>
    </row>
    <row r="30" spans="1:7" x14ac:dyDescent="0.15">
      <c r="A30" s="4" t="s">
        <v>32</v>
      </c>
      <c r="B30" s="4" t="s">
        <v>92</v>
      </c>
      <c r="C30" s="1">
        <v>337917.21000000183</v>
      </c>
      <c r="D30" s="1">
        <v>203143.07</v>
      </c>
      <c r="E30" s="1">
        <v>108852.57</v>
      </c>
      <c r="F30" s="1">
        <f t="shared" si="0"/>
        <v>311995.64</v>
      </c>
      <c r="G30" s="1">
        <v>12827</v>
      </c>
    </row>
    <row r="31" spans="1:7" x14ac:dyDescent="0.15">
      <c r="A31" s="4" t="s">
        <v>33</v>
      </c>
      <c r="B31" s="4" t="s">
        <v>92</v>
      </c>
      <c r="C31" s="1">
        <v>416971.15000000142</v>
      </c>
      <c r="D31" s="1">
        <v>252067.66</v>
      </c>
      <c r="E31" s="1">
        <v>144686.64000000001</v>
      </c>
      <c r="F31" s="1">
        <f t="shared" si="0"/>
        <v>396754.30000000005</v>
      </c>
      <c r="G31" s="1">
        <v>15755</v>
      </c>
    </row>
    <row r="32" spans="1:7" x14ac:dyDescent="0.15">
      <c r="A32" s="4" t="s">
        <v>34</v>
      </c>
      <c r="B32" s="4" t="s">
        <v>92</v>
      </c>
      <c r="C32" s="1">
        <v>568188.53900000243</v>
      </c>
      <c r="D32" s="1">
        <v>345603.27</v>
      </c>
      <c r="E32" s="1">
        <v>200448.58</v>
      </c>
      <c r="F32" s="1">
        <f t="shared" si="0"/>
        <v>546051.85</v>
      </c>
      <c r="G32" s="1">
        <v>21112</v>
      </c>
    </row>
    <row r="33" spans="1:11" x14ac:dyDescent="0.15">
      <c r="A33" s="4" t="s">
        <v>35</v>
      </c>
      <c r="B33" s="4" t="s">
        <v>92</v>
      </c>
      <c r="C33" s="1">
        <f>538319.98+57.2</f>
        <v>538377.17999999993</v>
      </c>
      <c r="D33" s="1">
        <f>325643.48+40.48</f>
        <v>325683.95999999996</v>
      </c>
      <c r="E33" s="1">
        <f>188861.26+13.16</f>
        <v>188874.42</v>
      </c>
      <c r="F33" s="1">
        <f>D33+E33</f>
        <v>514558.38</v>
      </c>
      <c r="G33" s="1">
        <v>20319</v>
      </c>
      <c r="J33" s="24"/>
    </row>
    <row r="34" spans="1:11" x14ac:dyDescent="0.15">
      <c r="A34" s="4" t="s">
        <v>36</v>
      </c>
      <c r="B34" s="4" t="s">
        <v>92</v>
      </c>
      <c r="C34" s="1">
        <v>350926.49400000152</v>
      </c>
      <c r="D34" s="1">
        <v>215166.39</v>
      </c>
      <c r="E34" s="1">
        <v>138101.89000000001</v>
      </c>
      <c r="F34" s="1">
        <f t="shared" si="0"/>
        <v>353268.28</v>
      </c>
      <c r="G34" s="1">
        <v>13929</v>
      </c>
      <c r="K34" s="24"/>
    </row>
    <row r="35" spans="1:11" x14ac:dyDescent="0.15">
      <c r="A35" s="4" t="s">
        <v>37</v>
      </c>
      <c r="B35" s="4" t="s">
        <v>92</v>
      </c>
      <c r="C35" s="1">
        <v>353745.77899999841</v>
      </c>
      <c r="D35" s="1">
        <v>217704.36</v>
      </c>
      <c r="E35" s="1">
        <v>113187.35</v>
      </c>
      <c r="F35" s="1">
        <f t="shared" si="0"/>
        <v>330891.70999999996</v>
      </c>
      <c r="G35" s="1">
        <v>13575</v>
      </c>
    </row>
    <row r="36" spans="1:11" x14ac:dyDescent="0.15">
      <c r="A36" s="4" t="s">
        <v>38</v>
      </c>
      <c r="B36" s="4" t="s">
        <v>92</v>
      </c>
      <c r="C36" s="1">
        <v>284140.44400000083</v>
      </c>
      <c r="D36" s="1">
        <v>177872.49</v>
      </c>
      <c r="E36" s="1">
        <v>97791.8</v>
      </c>
      <c r="F36" s="1">
        <f t="shared" si="0"/>
        <v>275664.28999999998</v>
      </c>
      <c r="G36" s="1">
        <v>11004</v>
      </c>
      <c r="J36" s="24"/>
      <c r="K36" s="24"/>
    </row>
    <row r="37" spans="1:11" x14ac:dyDescent="0.15">
      <c r="A37" s="4" t="s">
        <v>39</v>
      </c>
      <c r="B37" s="4" t="s">
        <v>92</v>
      </c>
      <c r="C37" s="1">
        <v>329970.87800000008</v>
      </c>
      <c r="D37" s="1">
        <v>206294.39</v>
      </c>
      <c r="E37" s="1">
        <v>91437.85</v>
      </c>
      <c r="F37" s="1">
        <f t="shared" si="0"/>
        <v>297732.24</v>
      </c>
      <c r="G37" s="1">
        <v>12912</v>
      </c>
    </row>
    <row r="38" spans="1:11" x14ac:dyDescent="0.15">
      <c r="A38" s="4" t="s">
        <v>40</v>
      </c>
      <c r="B38" s="4" t="s">
        <v>92</v>
      </c>
      <c r="C38" s="1">
        <v>521034.7840000001</v>
      </c>
      <c r="D38" s="1">
        <v>320527.98</v>
      </c>
      <c r="E38" s="1">
        <v>106760.87</v>
      </c>
      <c r="F38" s="1">
        <f t="shared" si="0"/>
        <v>427288.85</v>
      </c>
      <c r="G38" s="1">
        <v>19835</v>
      </c>
    </row>
    <row r="39" spans="1:11" x14ac:dyDescent="0.15">
      <c r="A39" s="4" t="s">
        <v>41</v>
      </c>
      <c r="B39" s="4" t="s">
        <v>92</v>
      </c>
      <c r="C39" s="1">
        <v>667085.79699999967</v>
      </c>
      <c r="D39" s="1">
        <v>418568.17</v>
      </c>
      <c r="E39" s="1">
        <v>172521.58</v>
      </c>
      <c r="F39" s="1">
        <f t="shared" si="0"/>
        <v>591089.75</v>
      </c>
      <c r="G39" s="1">
        <v>26254</v>
      </c>
    </row>
    <row r="40" spans="1:11" x14ac:dyDescent="0.15">
      <c r="A40" s="4" t="s">
        <v>42</v>
      </c>
      <c r="B40" s="4" t="s">
        <v>92</v>
      </c>
      <c r="C40" s="1">
        <v>370120.30400000105</v>
      </c>
      <c r="D40" s="1">
        <v>237791.76</v>
      </c>
      <c r="E40" s="1">
        <v>108854.15</v>
      </c>
      <c r="F40" s="1">
        <f t="shared" si="0"/>
        <v>346645.91000000003</v>
      </c>
      <c r="G40" s="1">
        <v>15986</v>
      </c>
    </row>
    <row r="41" spans="1:11" x14ac:dyDescent="0.15">
      <c r="A41" s="4" t="s">
        <v>43</v>
      </c>
      <c r="B41" s="4" t="s">
        <v>92</v>
      </c>
      <c r="C41" s="1">
        <v>390662.89099999919</v>
      </c>
      <c r="D41" s="1">
        <v>244143.77</v>
      </c>
      <c r="E41" s="1">
        <v>147586.85999999999</v>
      </c>
      <c r="F41" s="1">
        <f t="shared" si="0"/>
        <v>391730.63</v>
      </c>
      <c r="G41" s="1">
        <v>15793</v>
      </c>
    </row>
    <row r="42" spans="1:11" x14ac:dyDescent="0.15">
      <c r="A42" s="4" t="s">
        <v>44</v>
      </c>
      <c r="B42" s="4" t="s">
        <v>92</v>
      </c>
      <c r="C42" s="1">
        <v>328815.68100000039</v>
      </c>
      <c r="D42" s="1">
        <v>213667.3</v>
      </c>
      <c r="E42" s="1">
        <v>114357.83</v>
      </c>
      <c r="F42" s="1">
        <f t="shared" si="0"/>
        <v>328025.13</v>
      </c>
      <c r="G42" s="1">
        <v>13532</v>
      </c>
    </row>
    <row r="43" spans="1:11" x14ac:dyDescent="0.15">
      <c r="A43" s="4" t="s">
        <v>45</v>
      </c>
      <c r="B43" s="4" t="s">
        <v>92</v>
      </c>
      <c r="C43" s="1">
        <v>328662.25099999987</v>
      </c>
      <c r="D43" s="1">
        <v>232484.37</v>
      </c>
      <c r="E43" s="1">
        <v>100369.84</v>
      </c>
      <c r="F43" s="1">
        <f t="shared" si="0"/>
        <v>332854.20999999996</v>
      </c>
      <c r="G43" s="1">
        <v>13455</v>
      </c>
    </row>
    <row r="44" spans="1:11" x14ac:dyDescent="0.15">
      <c r="A44" s="4" t="s">
        <v>46</v>
      </c>
      <c r="B44" s="4" t="s">
        <v>92</v>
      </c>
      <c r="C44" s="1">
        <v>419732.66699999961</v>
      </c>
      <c r="D44" s="1">
        <v>256639.38</v>
      </c>
      <c r="E44" s="1">
        <v>161230.20000000001</v>
      </c>
      <c r="F44" s="1">
        <f t="shared" si="0"/>
        <v>417869.58</v>
      </c>
      <c r="G44" s="1">
        <v>16372</v>
      </c>
    </row>
    <row r="45" spans="1:11" x14ac:dyDescent="0.15">
      <c r="A45" s="4" t="s">
        <v>47</v>
      </c>
      <c r="B45" s="4" t="s">
        <v>92</v>
      </c>
      <c r="C45" s="1">
        <v>466563.12699999998</v>
      </c>
      <c r="D45" s="1">
        <v>298156.51</v>
      </c>
      <c r="E45" s="1">
        <v>188204.54</v>
      </c>
      <c r="F45" s="1">
        <f t="shared" si="0"/>
        <v>486361.05000000005</v>
      </c>
      <c r="G45" s="1">
        <v>18083</v>
      </c>
    </row>
    <row r="46" spans="1:11" x14ac:dyDescent="0.15">
      <c r="A46" s="4" t="s">
        <v>48</v>
      </c>
      <c r="B46" s="4" t="s">
        <v>92</v>
      </c>
      <c r="C46" s="1">
        <v>369842.09899999981</v>
      </c>
      <c r="D46" s="1">
        <v>237542.66</v>
      </c>
      <c r="E46" s="1">
        <v>144794.95000000001</v>
      </c>
      <c r="F46" s="1">
        <f t="shared" si="0"/>
        <v>382337.61</v>
      </c>
      <c r="G46" s="1">
        <v>14295</v>
      </c>
    </row>
    <row r="47" spans="1:11" x14ac:dyDescent="0.15">
      <c r="A47" s="4" t="s">
        <v>49</v>
      </c>
      <c r="B47" s="4" t="s">
        <v>92</v>
      </c>
      <c r="C47" s="1">
        <v>390410.73700000125</v>
      </c>
      <c r="D47" s="1">
        <v>243628</v>
      </c>
      <c r="E47" s="1">
        <v>154223.75</v>
      </c>
      <c r="F47" s="1">
        <f t="shared" si="0"/>
        <v>397851.75</v>
      </c>
      <c r="G47" s="1">
        <v>16318</v>
      </c>
    </row>
    <row r="48" spans="1:11" x14ac:dyDescent="0.15">
      <c r="A48" s="4" t="s">
        <v>50</v>
      </c>
      <c r="B48" s="4" t="s">
        <v>92</v>
      </c>
      <c r="C48" s="1">
        <v>384633.24399999896</v>
      </c>
      <c r="D48" s="1">
        <v>238098</v>
      </c>
      <c r="E48" s="1">
        <v>153086.47</v>
      </c>
      <c r="F48" s="1">
        <f t="shared" si="0"/>
        <v>391184.47</v>
      </c>
      <c r="G48" s="1">
        <v>15542</v>
      </c>
    </row>
    <row r="49" spans="1:7" x14ac:dyDescent="0.15">
      <c r="A49" s="4" t="s">
        <v>51</v>
      </c>
      <c r="B49" s="4" t="s">
        <v>92</v>
      </c>
      <c r="C49" s="1">
        <v>432236.52799999912</v>
      </c>
      <c r="D49" s="1">
        <v>258499.15</v>
      </c>
      <c r="E49" s="1">
        <v>193859.69</v>
      </c>
      <c r="F49" s="1">
        <f t="shared" si="0"/>
        <v>452358.83999999997</v>
      </c>
      <c r="G49" s="1">
        <v>16917</v>
      </c>
    </row>
    <row r="50" spans="1:7" x14ac:dyDescent="0.15">
      <c r="A50" s="4" t="s">
        <v>52</v>
      </c>
      <c r="B50" s="4" t="s">
        <v>92</v>
      </c>
      <c r="C50" s="1">
        <v>480696.82300000201</v>
      </c>
      <c r="D50" s="1">
        <v>294980.8</v>
      </c>
      <c r="E50" s="1">
        <v>213389.08</v>
      </c>
      <c r="F50" s="1">
        <f t="shared" si="0"/>
        <v>508369.88</v>
      </c>
      <c r="G50" s="1">
        <v>18263</v>
      </c>
    </row>
    <row r="51" spans="1:7" x14ac:dyDescent="0.15">
      <c r="A51" s="4" t="s">
        <v>53</v>
      </c>
      <c r="B51" s="4" t="s">
        <v>92</v>
      </c>
      <c r="C51" s="1">
        <v>540693.31500000332</v>
      </c>
      <c r="D51" s="1">
        <v>345480.97</v>
      </c>
      <c r="E51" s="1">
        <v>226402.94</v>
      </c>
      <c r="F51" s="1">
        <f t="shared" si="0"/>
        <v>571883.90999999992</v>
      </c>
      <c r="G51" s="1">
        <v>20845</v>
      </c>
    </row>
    <row r="52" spans="1:7" x14ac:dyDescent="0.15">
      <c r="A52" s="4" t="s">
        <v>54</v>
      </c>
      <c r="B52" s="4" t="s">
        <v>92</v>
      </c>
      <c r="C52" s="1">
        <v>550673.11999999988</v>
      </c>
      <c r="D52" s="1">
        <v>350593.51</v>
      </c>
      <c r="E52" s="1">
        <v>231269.55</v>
      </c>
      <c r="F52" s="1">
        <f t="shared" si="0"/>
        <v>581863.06000000006</v>
      </c>
      <c r="G52" s="1">
        <v>21506</v>
      </c>
    </row>
    <row r="53" spans="1:7" x14ac:dyDescent="0.15">
      <c r="A53" s="4" t="s">
        <v>55</v>
      </c>
      <c r="B53" s="4" t="s">
        <v>92</v>
      </c>
      <c r="C53" s="1">
        <v>416275.09300000145</v>
      </c>
      <c r="D53" s="1">
        <v>262187.34000000003</v>
      </c>
      <c r="E53" s="1">
        <v>177682.04</v>
      </c>
      <c r="F53" s="1">
        <f t="shared" si="0"/>
        <v>439869.38</v>
      </c>
      <c r="G53" s="1">
        <v>16656</v>
      </c>
    </row>
    <row r="54" spans="1:7" x14ac:dyDescent="0.15">
      <c r="A54" s="4" t="s">
        <v>56</v>
      </c>
      <c r="B54" s="4" t="s">
        <v>92</v>
      </c>
      <c r="C54" s="1">
        <v>373518.10800000158</v>
      </c>
      <c r="D54" s="1">
        <v>227015.6</v>
      </c>
      <c r="E54" s="1">
        <v>157321.04999999999</v>
      </c>
      <c r="F54" s="1">
        <f t="shared" si="0"/>
        <v>384336.65</v>
      </c>
      <c r="G54" s="1">
        <v>14814</v>
      </c>
    </row>
    <row r="55" spans="1:7" x14ac:dyDescent="0.15">
      <c r="A55" s="4" t="s">
        <v>57</v>
      </c>
      <c r="B55" s="4" t="s">
        <v>92</v>
      </c>
      <c r="C55" s="1">
        <v>367617.62999999966</v>
      </c>
      <c r="D55" s="1">
        <v>227791.91</v>
      </c>
      <c r="E55" s="1">
        <v>153057.01</v>
      </c>
      <c r="F55" s="1">
        <f t="shared" si="0"/>
        <v>380848.92000000004</v>
      </c>
      <c r="G55" s="1">
        <v>14939</v>
      </c>
    </row>
    <row r="56" spans="1:7" x14ac:dyDescent="0.15">
      <c r="A56" s="4" t="s">
        <v>58</v>
      </c>
      <c r="B56" s="4" t="s">
        <v>92</v>
      </c>
      <c r="C56" s="1">
        <v>363429.61099999945</v>
      </c>
      <c r="D56" s="1">
        <v>232315.78</v>
      </c>
      <c r="E56" s="1">
        <v>147847.60999999999</v>
      </c>
      <c r="F56" s="1">
        <f t="shared" si="0"/>
        <v>380163.39</v>
      </c>
      <c r="G56" s="1">
        <v>14155</v>
      </c>
    </row>
    <row r="57" spans="1:7" x14ac:dyDescent="0.15">
      <c r="A57" s="4" t="s">
        <v>59</v>
      </c>
      <c r="B57" s="4" t="s">
        <v>92</v>
      </c>
      <c r="C57" s="1">
        <v>308208.74899999989</v>
      </c>
      <c r="D57" s="1">
        <v>206513.88</v>
      </c>
      <c r="E57" s="1">
        <v>130865.11</v>
      </c>
      <c r="F57" s="1">
        <f t="shared" si="0"/>
        <v>337378.99</v>
      </c>
      <c r="G57" s="1">
        <v>12050</v>
      </c>
    </row>
    <row r="58" spans="1:7" x14ac:dyDescent="0.15">
      <c r="A58" s="4" t="s">
        <v>60</v>
      </c>
      <c r="B58" s="4" t="s">
        <v>92</v>
      </c>
      <c r="C58" s="1">
        <v>421405.62000000081</v>
      </c>
      <c r="D58" s="1">
        <v>266493.51</v>
      </c>
      <c r="E58" s="1">
        <v>162621.70000000001</v>
      </c>
      <c r="F58" s="1">
        <f t="shared" si="0"/>
        <v>429115.21</v>
      </c>
      <c r="G58" s="1">
        <v>15847</v>
      </c>
    </row>
    <row r="59" spans="1:7" x14ac:dyDescent="0.15">
      <c r="A59" s="4" t="s">
        <v>61</v>
      </c>
      <c r="B59" s="4" t="s">
        <v>92</v>
      </c>
      <c r="C59" s="1">
        <v>449170.92499999941</v>
      </c>
      <c r="D59" s="1">
        <v>262345.27</v>
      </c>
      <c r="E59" s="1">
        <v>153139.01</v>
      </c>
      <c r="F59" s="1">
        <f t="shared" si="0"/>
        <v>415484.28</v>
      </c>
      <c r="G59" s="1">
        <v>17273</v>
      </c>
    </row>
    <row r="60" spans="1:7" x14ac:dyDescent="0.15">
      <c r="A60" s="4" t="s">
        <v>62</v>
      </c>
      <c r="B60" s="4" t="s">
        <v>92</v>
      </c>
      <c r="C60" s="1">
        <v>431602.59000000008</v>
      </c>
      <c r="D60" s="1">
        <v>258653.67</v>
      </c>
      <c r="E60" s="1">
        <v>147503.78</v>
      </c>
      <c r="F60" s="1">
        <f t="shared" si="0"/>
        <v>406157.45</v>
      </c>
      <c r="G60" s="1">
        <v>16926</v>
      </c>
    </row>
    <row r="61" spans="1:7" x14ac:dyDescent="0.15">
      <c r="A61" s="4" t="s">
        <v>63</v>
      </c>
      <c r="B61" s="4" t="s">
        <v>92</v>
      </c>
      <c r="C61" s="1">
        <v>432741.64299999847</v>
      </c>
      <c r="D61" s="1">
        <v>254522.13</v>
      </c>
      <c r="E61" s="1">
        <v>167836</v>
      </c>
      <c r="F61" s="1">
        <f t="shared" si="0"/>
        <v>422358.13</v>
      </c>
      <c r="G61" s="1">
        <v>16841</v>
      </c>
    </row>
    <row r="62" spans="1:7" x14ac:dyDescent="0.15">
      <c r="A62" s="4" t="s">
        <v>64</v>
      </c>
      <c r="B62" s="4" t="s">
        <v>92</v>
      </c>
      <c r="C62" s="1">
        <v>430446.36099999736</v>
      </c>
      <c r="D62" s="1">
        <v>253252.77</v>
      </c>
      <c r="E62" s="1">
        <v>159192.18</v>
      </c>
      <c r="F62" s="1">
        <f t="shared" si="0"/>
        <v>412444.94999999995</v>
      </c>
      <c r="G62" s="1">
        <v>16821</v>
      </c>
    </row>
    <row r="63" spans="1:7" x14ac:dyDescent="0.15">
      <c r="A63" s="4" t="s">
        <v>65</v>
      </c>
      <c r="B63" s="4" t="s">
        <v>92</v>
      </c>
      <c r="C63" s="1">
        <v>500972.23800000071</v>
      </c>
      <c r="D63" s="1">
        <v>319058.96000000002</v>
      </c>
      <c r="E63" s="1">
        <v>177190.51</v>
      </c>
      <c r="F63" s="1">
        <f t="shared" si="0"/>
        <v>496249.47000000003</v>
      </c>
      <c r="G63" s="1">
        <v>19237</v>
      </c>
    </row>
    <row r="64" spans="1:7" x14ac:dyDescent="0.15">
      <c r="A64" s="4" t="s">
        <v>66</v>
      </c>
      <c r="B64" s="4" t="s">
        <v>92</v>
      </c>
      <c r="C64" s="1">
        <v>489071.34400000138</v>
      </c>
      <c r="D64" s="1">
        <v>310235.21999999997</v>
      </c>
      <c r="E64" s="1">
        <v>156128.28</v>
      </c>
      <c r="F64" s="1">
        <f t="shared" si="0"/>
        <v>466363.5</v>
      </c>
      <c r="G64" s="1">
        <v>19079</v>
      </c>
    </row>
    <row r="65" spans="1:7" x14ac:dyDescent="0.15">
      <c r="A65" s="4" t="s">
        <v>67</v>
      </c>
      <c r="B65" s="4" t="s">
        <v>92</v>
      </c>
      <c r="C65" s="1">
        <v>395557.42599999788</v>
      </c>
      <c r="D65" s="1">
        <v>239772.93</v>
      </c>
      <c r="E65" s="1">
        <v>127585.85</v>
      </c>
      <c r="F65" s="1">
        <f t="shared" si="0"/>
        <v>367358.78</v>
      </c>
      <c r="G65" s="1">
        <v>15557</v>
      </c>
    </row>
    <row r="66" spans="1:7" x14ac:dyDescent="0.15">
      <c r="A66" s="4" t="s">
        <v>68</v>
      </c>
      <c r="B66" s="4" t="s">
        <v>92</v>
      </c>
      <c r="C66" s="1">
        <v>359924.54199999914</v>
      </c>
      <c r="D66" s="1">
        <v>209787.4</v>
      </c>
      <c r="E66" s="1">
        <v>117542.1</v>
      </c>
      <c r="F66" s="1">
        <f t="shared" si="0"/>
        <v>327329.5</v>
      </c>
      <c r="G66" s="1">
        <v>14435</v>
      </c>
    </row>
    <row r="67" spans="1:7" x14ac:dyDescent="0.15">
      <c r="A67" s="4" t="s">
        <v>69</v>
      </c>
      <c r="B67" s="4" t="s">
        <v>92</v>
      </c>
      <c r="C67" s="1">
        <v>401043.42400000076</v>
      </c>
      <c r="D67" s="1">
        <v>224969.59</v>
      </c>
      <c r="E67" s="1">
        <v>123937.22</v>
      </c>
      <c r="F67" s="1">
        <f t="shared" ref="F67:F88" si="1">D67+E67</f>
        <v>348906.81</v>
      </c>
      <c r="G67" s="1">
        <v>15656</v>
      </c>
    </row>
    <row r="68" spans="1:7" x14ac:dyDescent="0.15">
      <c r="A68" s="4" t="s">
        <v>70</v>
      </c>
      <c r="B68" s="4" t="s">
        <v>92</v>
      </c>
      <c r="C68" s="1">
        <v>455952.43099999928</v>
      </c>
      <c r="D68" s="1">
        <v>257103.94</v>
      </c>
      <c r="E68" s="1">
        <v>142368.14000000001</v>
      </c>
      <c r="F68" s="1">
        <f t="shared" si="1"/>
        <v>399472.08</v>
      </c>
      <c r="G68" s="1">
        <v>17638</v>
      </c>
    </row>
    <row r="69" spans="1:7" x14ac:dyDescent="0.15">
      <c r="A69" s="4" t="s">
        <v>71</v>
      </c>
      <c r="B69" s="4" t="s">
        <v>92</v>
      </c>
      <c r="C69" s="1">
        <v>486138.51200000383</v>
      </c>
      <c r="D69" s="1">
        <v>274645.46999999997</v>
      </c>
      <c r="E69" s="1">
        <v>143685.37</v>
      </c>
      <c r="F69" s="1">
        <f t="shared" si="1"/>
        <v>418330.83999999997</v>
      </c>
      <c r="G69" s="1">
        <v>18748</v>
      </c>
    </row>
    <row r="70" spans="1:7" x14ac:dyDescent="0.15">
      <c r="A70" s="4" t="s">
        <v>72</v>
      </c>
      <c r="B70" s="4" t="s">
        <v>92</v>
      </c>
      <c r="C70" s="1">
        <v>393714.60999999876</v>
      </c>
      <c r="D70" s="1">
        <v>238157.51</v>
      </c>
      <c r="E70" s="1">
        <v>116635.05</v>
      </c>
      <c r="F70" s="1">
        <f t="shared" si="1"/>
        <v>354792.56</v>
      </c>
      <c r="G70" s="1">
        <v>15048</v>
      </c>
    </row>
    <row r="71" spans="1:7" x14ac:dyDescent="0.15">
      <c r="A71" s="4" t="s">
        <v>73</v>
      </c>
      <c r="B71" s="4" t="s">
        <v>92</v>
      </c>
      <c r="C71" s="1">
        <v>454076.01800000225</v>
      </c>
      <c r="D71" s="1">
        <v>250159.91</v>
      </c>
      <c r="E71" s="1">
        <v>128491.27</v>
      </c>
      <c r="F71" s="1">
        <f t="shared" si="1"/>
        <v>378651.18</v>
      </c>
      <c r="G71" s="1">
        <v>17896</v>
      </c>
    </row>
    <row r="72" spans="1:7" x14ac:dyDescent="0.15">
      <c r="A72" s="4" t="s">
        <v>74</v>
      </c>
      <c r="B72" s="4" t="s">
        <v>92</v>
      </c>
      <c r="C72" s="1">
        <v>412115.89000000339</v>
      </c>
      <c r="D72" s="1">
        <v>215894.93</v>
      </c>
      <c r="E72" s="1">
        <v>115913.26</v>
      </c>
      <c r="F72" s="1">
        <f t="shared" si="1"/>
        <v>331808.19</v>
      </c>
      <c r="G72" s="1">
        <v>16451</v>
      </c>
    </row>
    <row r="73" spans="1:7" x14ac:dyDescent="0.15">
      <c r="A73" s="4" t="s">
        <v>75</v>
      </c>
      <c r="B73" s="4" t="s">
        <v>92</v>
      </c>
      <c r="C73" s="1">
        <v>454351.75999999943</v>
      </c>
      <c r="D73" s="1">
        <v>238825.97</v>
      </c>
      <c r="E73" s="1">
        <v>125323.18</v>
      </c>
      <c r="F73" s="1">
        <f t="shared" si="1"/>
        <v>364149.15</v>
      </c>
      <c r="G73" s="1">
        <v>17710</v>
      </c>
    </row>
    <row r="74" spans="1:7" x14ac:dyDescent="0.15">
      <c r="A74" s="4" t="s">
        <v>76</v>
      </c>
      <c r="B74" s="4" t="s">
        <v>92</v>
      </c>
      <c r="C74" s="1">
        <v>469512.21199999721</v>
      </c>
      <c r="D74" s="1">
        <v>245039.11</v>
      </c>
      <c r="E74" s="1">
        <v>114720.39</v>
      </c>
      <c r="F74" s="1">
        <f t="shared" si="1"/>
        <v>359759.5</v>
      </c>
      <c r="G74" s="1">
        <v>18216</v>
      </c>
    </row>
    <row r="75" spans="1:7" x14ac:dyDescent="0.15">
      <c r="A75" s="4" t="s">
        <v>77</v>
      </c>
      <c r="B75" s="4" t="s">
        <v>92</v>
      </c>
      <c r="C75" s="1">
        <v>590679.42099999997</v>
      </c>
      <c r="D75" s="1">
        <v>321956.84999999998</v>
      </c>
      <c r="E75" s="1">
        <v>162994.35</v>
      </c>
      <c r="F75" s="1">
        <f t="shared" si="1"/>
        <v>484951.19999999995</v>
      </c>
      <c r="G75" s="1">
        <v>22444</v>
      </c>
    </row>
    <row r="76" spans="1:7" x14ac:dyDescent="0.15">
      <c r="A76" s="4" t="s">
        <v>78</v>
      </c>
      <c r="B76" s="4" t="s">
        <v>92</v>
      </c>
      <c r="C76" s="1">
        <v>572501.16000000085</v>
      </c>
      <c r="D76" s="1">
        <v>313725.78000000003</v>
      </c>
      <c r="E76" s="1">
        <v>157796.87</v>
      </c>
      <c r="F76" s="1">
        <f t="shared" si="1"/>
        <v>471522.65</v>
      </c>
      <c r="G76" s="1">
        <v>21852</v>
      </c>
    </row>
    <row r="77" spans="1:7" x14ac:dyDescent="0.15">
      <c r="A77" s="4" t="s">
        <v>79</v>
      </c>
      <c r="B77" s="4" t="s">
        <v>92</v>
      </c>
      <c r="C77" s="1">
        <v>478145.82499999902</v>
      </c>
      <c r="D77" s="1">
        <v>252310.28</v>
      </c>
      <c r="E77" s="1">
        <v>132549.65</v>
      </c>
      <c r="F77" s="1">
        <f t="shared" si="1"/>
        <v>384859.93</v>
      </c>
      <c r="G77" s="1">
        <v>18527</v>
      </c>
    </row>
    <row r="78" spans="1:7" x14ac:dyDescent="0.15">
      <c r="A78" s="4" t="s">
        <v>80</v>
      </c>
      <c r="B78" s="4" t="s">
        <v>92</v>
      </c>
      <c r="C78" s="1">
        <v>409208.91099999961</v>
      </c>
      <c r="D78" s="1">
        <v>213068.99</v>
      </c>
      <c r="E78" s="1">
        <v>117082.79</v>
      </c>
      <c r="F78" s="1">
        <f t="shared" si="1"/>
        <v>330151.77999999997</v>
      </c>
      <c r="G78" s="1">
        <v>16316</v>
      </c>
    </row>
    <row r="79" spans="1:7" x14ac:dyDescent="0.15">
      <c r="A79" s="4" t="s">
        <v>81</v>
      </c>
      <c r="B79" s="4" t="s">
        <v>92</v>
      </c>
      <c r="C79" s="1">
        <v>389860.41600000142</v>
      </c>
      <c r="D79" s="1">
        <v>205438.64</v>
      </c>
      <c r="E79" s="1">
        <v>113210.39</v>
      </c>
      <c r="F79" s="1">
        <f t="shared" si="1"/>
        <v>318649.03000000003</v>
      </c>
      <c r="G79" s="1">
        <v>15570</v>
      </c>
    </row>
    <row r="80" spans="1:7" x14ac:dyDescent="0.15">
      <c r="A80" s="4" t="s">
        <v>82</v>
      </c>
      <c r="B80" s="4" t="s">
        <v>92</v>
      </c>
      <c r="C80" s="1">
        <v>415888.10000000073</v>
      </c>
      <c r="D80" s="1">
        <v>229435.94</v>
      </c>
      <c r="E80" s="1">
        <v>126095.9</v>
      </c>
      <c r="F80" s="1">
        <f t="shared" si="1"/>
        <v>355531.83999999997</v>
      </c>
      <c r="G80" s="1">
        <v>16375</v>
      </c>
    </row>
    <row r="81" spans="1:7" x14ac:dyDescent="0.15">
      <c r="A81" s="4" t="s">
        <v>83</v>
      </c>
      <c r="B81" s="4" t="s">
        <v>92</v>
      </c>
      <c r="C81" s="1">
        <v>359353.55699999986</v>
      </c>
      <c r="D81" s="1">
        <v>203142.74</v>
      </c>
      <c r="E81" s="1">
        <v>110183.03999999999</v>
      </c>
      <c r="F81" s="1">
        <f t="shared" si="1"/>
        <v>313325.77999999997</v>
      </c>
      <c r="G81" s="1">
        <v>14166</v>
      </c>
    </row>
    <row r="82" spans="1:7" x14ac:dyDescent="0.15">
      <c r="A82" s="4" t="s">
        <v>84</v>
      </c>
      <c r="B82" s="4" t="s">
        <v>92</v>
      </c>
      <c r="C82" s="1">
        <v>333239.72800000024</v>
      </c>
      <c r="D82" s="1">
        <v>187307.17</v>
      </c>
      <c r="E82" s="1">
        <v>101349.95</v>
      </c>
      <c r="F82" s="1">
        <f t="shared" si="1"/>
        <v>288657.12</v>
      </c>
      <c r="G82" s="1">
        <v>12954</v>
      </c>
    </row>
    <row r="83" spans="1:7" x14ac:dyDescent="0.15">
      <c r="A83" s="4" t="s">
        <v>85</v>
      </c>
      <c r="B83" s="4" t="s">
        <v>92</v>
      </c>
      <c r="C83" s="1">
        <v>370662.16199999995</v>
      </c>
      <c r="D83" s="1">
        <v>199207.73</v>
      </c>
      <c r="E83" s="1">
        <v>111684.87</v>
      </c>
      <c r="F83" s="1">
        <f t="shared" si="1"/>
        <v>310892.59999999998</v>
      </c>
      <c r="G83" s="1">
        <v>14754</v>
      </c>
    </row>
    <row r="84" spans="1:7" x14ac:dyDescent="0.15">
      <c r="A84" s="4" t="s">
        <v>86</v>
      </c>
      <c r="B84" s="4" t="s">
        <v>92</v>
      </c>
      <c r="C84" s="1">
        <v>352885.06299999851</v>
      </c>
      <c r="D84" s="1">
        <v>192889.61</v>
      </c>
      <c r="E84" s="1">
        <v>102787.55</v>
      </c>
      <c r="F84" s="1">
        <f t="shared" si="1"/>
        <v>295677.15999999997</v>
      </c>
      <c r="G84" s="1">
        <v>14385</v>
      </c>
    </row>
    <row r="85" spans="1:7" x14ac:dyDescent="0.15">
      <c r="A85" s="4" t="s">
        <v>87</v>
      </c>
      <c r="B85" s="4" t="s">
        <v>92</v>
      </c>
      <c r="C85" s="1">
        <v>359974.39199999953</v>
      </c>
      <c r="D85" s="1">
        <v>192118.49</v>
      </c>
      <c r="E85" s="1">
        <v>111376.66</v>
      </c>
      <c r="F85" s="1">
        <f t="shared" si="1"/>
        <v>303495.15000000002</v>
      </c>
      <c r="G85" s="1">
        <v>14688</v>
      </c>
    </row>
    <row r="86" spans="1:7" x14ac:dyDescent="0.15">
      <c r="A86" s="4" t="s">
        <v>88</v>
      </c>
      <c r="B86" s="4" t="s">
        <v>92</v>
      </c>
      <c r="C86" s="1">
        <v>347102.27</v>
      </c>
      <c r="D86" s="1">
        <v>186695.34</v>
      </c>
      <c r="E86" s="1">
        <v>112308.05</v>
      </c>
      <c r="F86" s="1">
        <f t="shared" si="1"/>
        <v>299003.39</v>
      </c>
      <c r="G86" s="1">
        <v>14108</v>
      </c>
    </row>
    <row r="87" spans="1:7" x14ac:dyDescent="0.15">
      <c r="A87" s="4" t="s">
        <v>89</v>
      </c>
      <c r="B87" s="4" t="s">
        <v>92</v>
      </c>
      <c r="C87" s="1">
        <v>393120.00899999798</v>
      </c>
      <c r="D87" s="1">
        <v>222445.48</v>
      </c>
      <c r="E87" s="1">
        <v>125640.65</v>
      </c>
      <c r="F87" s="1">
        <f t="shared" si="1"/>
        <v>348086.13</v>
      </c>
      <c r="G87" s="1">
        <v>15726</v>
      </c>
    </row>
    <row r="88" spans="1:7" x14ac:dyDescent="0.15">
      <c r="A88" s="4" t="s">
        <v>90</v>
      </c>
      <c r="B88" s="4" t="s">
        <v>92</v>
      </c>
      <c r="C88" s="1">
        <v>370346.40000000125</v>
      </c>
      <c r="D88" s="1">
        <v>192584.87</v>
      </c>
      <c r="E88" s="1">
        <v>127364.24</v>
      </c>
      <c r="F88" s="1">
        <f t="shared" si="1"/>
        <v>319949.11</v>
      </c>
      <c r="G88" s="1">
        <v>15101</v>
      </c>
    </row>
    <row r="89" spans="1:7" x14ac:dyDescent="0.15">
      <c r="A89" s="1" t="s">
        <v>71</v>
      </c>
      <c r="B89" s="1" t="s">
        <v>95</v>
      </c>
      <c r="C89" s="1">
        <v>32624.94</v>
      </c>
      <c r="D89" s="1">
        <v>18338.12</v>
      </c>
      <c r="E89" s="1">
        <v>6573.49</v>
      </c>
      <c r="F89" s="1">
        <f>D89+E89</f>
        <v>24911.61</v>
      </c>
      <c r="G89" s="1">
        <v>1291</v>
      </c>
    </row>
    <row r="90" spans="1:7" x14ac:dyDescent="0.15">
      <c r="A90" s="1" t="s">
        <v>72</v>
      </c>
      <c r="B90" s="1" t="s">
        <v>95</v>
      </c>
      <c r="C90" s="1">
        <v>42533.06</v>
      </c>
      <c r="D90" s="1">
        <v>25848.53</v>
      </c>
      <c r="E90" s="1">
        <v>8361.0300000000007</v>
      </c>
      <c r="F90" s="1">
        <f t="shared" ref="F90:F108" si="2">D90+E90</f>
        <v>34209.56</v>
      </c>
      <c r="G90" s="1">
        <v>1737</v>
      </c>
    </row>
    <row r="91" spans="1:7" x14ac:dyDescent="0.15">
      <c r="A91" s="1" t="s">
        <v>73</v>
      </c>
      <c r="B91" s="1" t="s">
        <v>95</v>
      </c>
      <c r="C91" s="1">
        <v>123846.48</v>
      </c>
      <c r="D91" s="1">
        <v>65810.89</v>
      </c>
      <c r="E91" s="1">
        <v>16738.68</v>
      </c>
      <c r="F91" s="1">
        <f t="shared" si="2"/>
        <v>82549.570000000007</v>
      </c>
      <c r="G91" s="1">
        <v>4407</v>
      </c>
    </row>
    <row r="92" spans="1:7" x14ac:dyDescent="0.15">
      <c r="A92" s="1" t="s">
        <v>74</v>
      </c>
      <c r="B92" s="1" t="s">
        <v>95</v>
      </c>
      <c r="C92" s="1">
        <v>110084.38</v>
      </c>
      <c r="D92" s="1">
        <v>59275.91</v>
      </c>
      <c r="E92" s="1">
        <v>18096.25</v>
      </c>
      <c r="F92" s="1">
        <f t="shared" si="2"/>
        <v>77372.160000000003</v>
      </c>
      <c r="G92" s="1">
        <v>3845</v>
      </c>
    </row>
    <row r="93" spans="1:7" x14ac:dyDescent="0.15">
      <c r="A93" s="1" t="s">
        <v>75</v>
      </c>
      <c r="B93" s="1" t="s">
        <v>95</v>
      </c>
      <c r="C93" s="1">
        <v>114575.17</v>
      </c>
      <c r="D93" s="1">
        <v>64065.68</v>
      </c>
      <c r="E93" s="1">
        <v>19842.68</v>
      </c>
      <c r="F93" s="1">
        <f t="shared" si="2"/>
        <v>83908.36</v>
      </c>
      <c r="G93" s="1">
        <v>4046</v>
      </c>
    </row>
    <row r="94" spans="1:7" x14ac:dyDescent="0.15">
      <c r="A94" s="1" t="s">
        <v>76</v>
      </c>
      <c r="B94" s="1" t="s">
        <v>95</v>
      </c>
      <c r="C94" s="1">
        <v>88227.65</v>
      </c>
      <c r="D94" s="1">
        <v>53889.22</v>
      </c>
      <c r="E94" s="1">
        <v>17573.11</v>
      </c>
      <c r="F94" s="1">
        <f t="shared" si="2"/>
        <v>71462.33</v>
      </c>
      <c r="G94" s="1">
        <v>3223</v>
      </c>
    </row>
    <row r="95" spans="1:7" x14ac:dyDescent="0.15">
      <c r="A95" s="1" t="s">
        <v>77</v>
      </c>
      <c r="B95" s="1" t="s">
        <v>95</v>
      </c>
      <c r="C95" s="1">
        <v>113359.26</v>
      </c>
      <c r="D95" s="1">
        <v>69650.240000000005</v>
      </c>
      <c r="E95" s="1">
        <v>23417.23</v>
      </c>
      <c r="F95" s="1">
        <f t="shared" si="2"/>
        <v>93067.47</v>
      </c>
      <c r="G95" s="1">
        <v>3929</v>
      </c>
    </row>
    <row r="96" spans="1:7" x14ac:dyDescent="0.15">
      <c r="A96" s="1" t="s">
        <v>78</v>
      </c>
      <c r="B96" s="1" t="s">
        <v>95</v>
      </c>
      <c r="C96" s="1">
        <v>116919.03</v>
      </c>
      <c r="D96" s="1">
        <v>72875.460000000006</v>
      </c>
      <c r="E96" s="1">
        <v>24368.69</v>
      </c>
      <c r="F96" s="1">
        <f t="shared" si="2"/>
        <v>97244.150000000009</v>
      </c>
      <c r="G96" s="1">
        <v>3940</v>
      </c>
    </row>
    <row r="97" spans="1:7" x14ac:dyDescent="0.15">
      <c r="A97" s="1" t="s">
        <v>79</v>
      </c>
      <c r="B97" s="1" t="s">
        <v>95</v>
      </c>
      <c r="C97" s="1">
        <v>99918.5</v>
      </c>
      <c r="D97" s="1">
        <v>63136.79</v>
      </c>
      <c r="E97" s="1">
        <v>20672.330000000002</v>
      </c>
      <c r="F97" s="1">
        <f t="shared" si="2"/>
        <v>83809.119999999995</v>
      </c>
      <c r="G97" s="1">
        <v>3483</v>
      </c>
    </row>
    <row r="98" spans="1:7" x14ac:dyDescent="0.15">
      <c r="A98" s="1" t="s">
        <v>80</v>
      </c>
      <c r="B98" s="1" t="s">
        <v>95</v>
      </c>
      <c r="C98" s="1">
        <v>93083.08</v>
      </c>
      <c r="D98" s="1">
        <v>58388.99</v>
      </c>
      <c r="E98" s="1">
        <v>19089.240000000002</v>
      </c>
      <c r="F98" s="1">
        <f t="shared" si="2"/>
        <v>77478.23</v>
      </c>
      <c r="G98" s="1">
        <v>3340</v>
      </c>
    </row>
    <row r="99" spans="1:7" x14ac:dyDescent="0.15">
      <c r="A99" s="1" t="s">
        <v>81</v>
      </c>
      <c r="B99" s="1" t="s">
        <v>95</v>
      </c>
      <c r="C99" s="1">
        <v>97247.07</v>
      </c>
      <c r="D99" s="1">
        <v>61420.77</v>
      </c>
      <c r="E99" s="1">
        <v>20328.32</v>
      </c>
      <c r="F99" s="1">
        <f t="shared" si="2"/>
        <v>81749.09</v>
      </c>
      <c r="G99" s="1">
        <v>3316</v>
      </c>
    </row>
    <row r="100" spans="1:7" x14ac:dyDescent="0.15">
      <c r="A100" s="1" t="s">
        <v>82</v>
      </c>
      <c r="B100" s="1" t="s">
        <v>95</v>
      </c>
      <c r="C100" s="1">
        <v>116110.63</v>
      </c>
      <c r="D100" s="1">
        <v>74016.570000000007</v>
      </c>
      <c r="E100" s="1">
        <v>25587.64</v>
      </c>
      <c r="F100" s="1">
        <f t="shared" si="2"/>
        <v>99604.21</v>
      </c>
      <c r="G100" s="1">
        <v>3908</v>
      </c>
    </row>
    <row r="101" spans="1:7" x14ac:dyDescent="0.15">
      <c r="A101" s="1" t="s">
        <v>83</v>
      </c>
      <c r="B101" s="1" t="s">
        <v>95</v>
      </c>
      <c r="C101" s="1">
        <v>120379.6</v>
      </c>
      <c r="D101" s="1">
        <v>74627.5</v>
      </c>
      <c r="E101" s="1">
        <v>25763.86</v>
      </c>
      <c r="F101" s="1">
        <f t="shared" si="2"/>
        <v>100391.36</v>
      </c>
      <c r="G101" s="1">
        <v>3760</v>
      </c>
    </row>
    <row r="102" spans="1:7" x14ac:dyDescent="0.15">
      <c r="A102" s="1" t="s">
        <v>84</v>
      </c>
      <c r="B102" s="1" t="s">
        <v>95</v>
      </c>
      <c r="C102" s="1">
        <v>131023.95</v>
      </c>
      <c r="D102" s="1">
        <v>80136.460000000006</v>
      </c>
      <c r="E102" s="1">
        <v>28080.02</v>
      </c>
      <c r="F102" s="1">
        <f t="shared" si="2"/>
        <v>108216.48000000001</v>
      </c>
      <c r="G102" s="1">
        <v>4147</v>
      </c>
    </row>
    <row r="103" spans="1:7" x14ac:dyDescent="0.15">
      <c r="A103" s="1" t="s">
        <v>85</v>
      </c>
      <c r="B103" s="1" t="s">
        <v>95</v>
      </c>
      <c r="C103" s="1">
        <v>142329.75</v>
      </c>
      <c r="D103" s="1">
        <v>83623.81</v>
      </c>
      <c r="E103" s="1">
        <v>30375.599999999999</v>
      </c>
      <c r="F103" s="1">
        <f t="shared" si="2"/>
        <v>113999.41</v>
      </c>
      <c r="G103" s="1">
        <v>4836</v>
      </c>
    </row>
    <row r="104" spans="1:7" x14ac:dyDescent="0.15">
      <c r="A104" s="1" t="s">
        <v>86</v>
      </c>
      <c r="B104" s="1" t="s">
        <v>95</v>
      </c>
      <c r="C104" s="1">
        <v>104999.88</v>
      </c>
      <c r="D104" s="1">
        <v>61935.9</v>
      </c>
      <c r="E104" s="1">
        <v>22352.89</v>
      </c>
      <c r="F104" s="1">
        <f t="shared" si="2"/>
        <v>84288.790000000008</v>
      </c>
      <c r="G104" s="1">
        <v>3627</v>
      </c>
    </row>
    <row r="105" spans="1:7" x14ac:dyDescent="0.15">
      <c r="A105" s="1" t="s">
        <v>87</v>
      </c>
      <c r="B105" s="1" t="s">
        <v>95</v>
      </c>
      <c r="C105" s="1">
        <v>110916.35</v>
      </c>
      <c r="D105" s="1">
        <v>64977.42</v>
      </c>
      <c r="E105" s="1">
        <v>23613.49</v>
      </c>
      <c r="F105" s="1">
        <f t="shared" si="2"/>
        <v>88590.91</v>
      </c>
      <c r="G105" s="1">
        <v>3927</v>
      </c>
    </row>
    <row r="106" spans="1:7" x14ac:dyDescent="0.15">
      <c r="A106" s="1" t="s">
        <v>88</v>
      </c>
      <c r="B106" s="1" t="s">
        <v>95</v>
      </c>
      <c r="C106" s="1">
        <v>114309.06</v>
      </c>
      <c r="D106" s="1">
        <v>68475.63</v>
      </c>
      <c r="E106" s="1">
        <v>24143.88</v>
      </c>
      <c r="F106" s="1">
        <f t="shared" si="2"/>
        <v>92619.510000000009</v>
      </c>
      <c r="G106" s="1">
        <v>4062</v>
      </c>
    </row>
    <row r="107" spans="1:7" x14ac:dyDescent="0.15">
      <c r="A107" s="1" t="s">
        <v>89</v>
      </c>
      <c r="B107" s="1" t="s">
        <v>95</v>
      </c>
      <c r="C107" s="1">
        <v>155319.34</v>
      </c>
      <c r="D107" s="1">
        <v>97484.11</v>
      </c>
      <c r="E107" s="1">
        <v>33977.53</v>
      </c>
      <c r="F107" s="1">
        <f t="shared" si="2"/>
        <v>131461.64000000001</v>
      </c>
      <c r="G107" s="1">
        <v>5547</v>
      </c>
    </row>
    <row r="108" spans="1:7" x14ac:dyDescent="0.15">
      <c r="A108" s="1" t="s">
        <v>90</v>
      </c>
      <c r="B108" s="1" t="s">
        <v>99</v>
      </c>
      <c r="C108" s="1">
        <v>153275.94</v>
      </c>
      <c r="D108" s="1">
        <v>90504.83</v>
      </c>
      <c r="E108" s="1">
        <v>38358.879999999997</v>
      </c>
      <c r="F108" s="1">
        <f t="shared" si="2"/>
        <v>128863.70999999999</v>
      </c>
      <c r="G108" s="1">
        <v>5371</v>
      </c>
    </row>
    <row r="109" spans="1:7" x14ac:dyDescent="0.15">
      <c r="A109" s="1" t="s">
        <v>96</v>
      </c>
      <c r="B109" s="4" t="s">
        <v>97</v>
      </c>
      <c r="C109" s="1">
        <v>302262.06</v>
      </c>
      <c r="D109" s="1">
        <v>141741.24</v>
      </c>
      <c r="E109" s="1">
        <v>104524.97</v>
      </c>
      <c r="F109" s="1">
        <v>246266.21</v>
      </c>
      <c r="G109" s="1">
        <v>12644</v>
      </c>
    </row>
    <row r="110" spans="1:7" x14ac:dyDescent="0.15">
      <c r="A110" s="1" t="s">
        <v>96</v>
      </c>
      <c r="B110" s="4" t="s">
        <v>98</v>
      </c>
      <c r="C110" s="1">
        <v>145618.5</v>
      </c>
      <c r="D110" s="1">
        <v>79313.490000000005</v>
      </c>
      <c r="E110" s="1">
        <v>36711.49</v>
      </c>
      <c r="F110" s="1">
        <v>116024.98</v>
      </c>
      <c r="G110" s="1">
        <v>5197</v>
      </c>
    </row>
    <row r="111" spans="1:7" x14ac:dyDescent="0.15">
      <c r="A111" s="1" t="s">
        <v>163</v>
      </c>
      <c r="B111" s="4" t="s">
        <v>97</v>
      </c>
      <c r="C111" s="1">
        <v>292085.53999999998</v>
      </c>
      <c r="D111" s="1">
        <v>140183.54</v>
      </c>
      <c r="E111" s="1">
        <v>100836.96</v>
      </c>
      <c r="F111" s="1">
        <v>241020.5</v>
      </c>
      <c r="G111" s="1">
        <v>12267</v>
      </c>
    </row>
    <row r="112" spans="1:7" x14ac:dyDescent="0.15">
      <c r="A112" s="1" t="s">
        <v>163</v>
      </c>
      <c r="B112" s="4" t="s">
        <v>98</v>
      </c>
      <c r="C112" s="1">
        <v>137042.18</v>
      </c>
      <c r="D112" s="1">
        <v>75721.490000000005</v>
      </c>
      <c r="E112" s="1">
        <v>35525.25</v>
      </c>
      <c r="F112" s="1">
        <v>111246.74</v>
      </c>
      <c r="G112" s="1">
        <v>4940</v>
      </c>
    </row>
    <row r="113" spans="1:7" x14ac:dyDescent="0.15">
      <c r="A113" s="1" t="s">
        <v>166</v>
      </c>
      <c r="B113" s="4" t="s">
        <v>97</v>
      </c>
      <c r="C113" s="1">
        <v>270495.69</v>
      </c>
      <c r="D113" s="1">
        <v>149822.98000000001</v>
      </c>
      <c r="E113" s="1">
        <v>89747.37</v>
      </c>
      <c r="F113" s="1">
        <v>239570.35</v>
      </c>
      <c r="G113" s="1">
        <v>11530</v>
      </c>
    </row>
    <row r="114" spans="1:7" x14ac:dyDescent="0.15">
      <c r="A114" s="1" t="s">
        <v>166</v>
      </c>
      <c r="B114" s="4" t="s">
        <v>98</v>
      </c>
      <c r="C114" s="1">
        <v>135965.66</v>
      </c>
      <c r="D114" s="1">
        <v>83456.25</v>
      </c>
      <c r="E114" s="1">
        <v>35249.68</v>
      </c>
      <c r="F114" s="1">
        <v>118705.93</v>
      </c>
      <c r="G114" s="1">
        <v>4970</v>
      </c>
    </row>
    <row r="115" spans="1:7" x14ac:dyDescent="0.15">
      <c r="A115" s="1" t="s">
        <v>170</v>
      </c>
      <c r="B115" s="4" t="s">
        <v>97</v>
      </c>
      <c r="C115" s="1">
        <v>276668.06</v>
      </c>
      <c r="D115" s="1">
        <v>146857.99</v>
      </c>
      <c r="E115" s="1">
        <v>90586.93</v>
      </c>
      <c r="F115" s="1">
        <v>237444.92</v>
      </c>
      <c r="G115" s="1">
        <v>11964</v>
      </c>
    </row>
    <row r="116" spans="1:7" x14ac:dyDescent="0.15">
      <c r="A116" s="1" t="s">
        <v>170</v>
      </c>
      <c r="B116" s="4" t="s">
        <v>98</v>
      </c>
      <c r="C116" s="1">
        <v>156495.57</v>
      </c>
      <c r="D116" s="1">
        <v>91371.74</v>
      </c>
      <c r="E116" s="1">
        <v>41548.01</v>
      </c>
      <c r="F116" s="1">
        <v>132919.75</v>
      </c>
      <c r="G116" s="1">
        <v>5606</v>
      </c>
    </row>
    <row r="117" spans="1:7" x14ac:dyDescent="0.15">
      <c r="A117" s="4"/>
      <c r="B117" s="4"/>
      <c r="C117" s="1"/>
      <c r="D117" s="1"/>
      <c r="E117" s="1"/>
      <c r="F117" s="1"/>
      <c r="G117" s="1"/>
    </row>
    <row r="118" spans="1:7" x14ac:dyDescent="0.15">
      <c r="A118" s="4"/>
      <c r="B118" s="4"/>
      <c r="C118" s="1"/>
      <c r="D118" s="1"/>
      <c r="E118" s="1"/>
      <c r="F118" s="1"/>
      <c r="G118" s="1"/>
    </row>
    <row r="119" spans="1:7" x14ac:dyDescent="0.15">
      <c r="A119" s="4"/>
      <c r="B119" s="4"/>
      <c r="C119" s="1"/>
      <c r="D119" s="1"/>
      <c r="E119" s="1"/>
      <c r="F119" s="1"/>
      <c r="G119" s="1"/>
    </row>
    <row r="120" spans="1:7" x14ac:dyDescent="0.15">
      <c r="A120" s="4"/>
      <c r="B120" s="4"/>
      <c r="C120" s="1"/>
      <c r="D120" s="1"/>
      <c r="E120" s="1"/>
      <c r="F120" s="1"/>
      <c r="G120" s="1"/>
    </row>
    <row r="121" spans="1:7" x14ac:dyDescent="0.15">
      <c r="A121" s="4"/>
      <c r="B121" s="4"/>
      <c r="C121" s="1"/>
      <c r="D121" s="1"/>
      <c r="E121" s="1"/>
      <c r="F121" s="1"/>
      <c r="G121" s="1"/>
    </row>
    <row r="122" spans="1:7" x14ac:dyDescent="0.15">
      <c r="A122" s="4"/>
      <c r="B122" s="4"/>
      <c r="C122" s="1"/>
      <c r="D122" s="1"/>
      <c r="E122" s="1"/>
      <c r="F122" s="1"/>
      <c r="G122" s="1"/>
    </row>
    <row r="123" spans="1:7" x14ac:dyDescent="0.15">
      <c r="A123" s="4"/>
      <c r="B123" s="4"/>
      <c r="C123" s="1"/>
      <c r="D123" s="1"/>
      <c r="E123" s="1"/>
      <c r="F123" s="1"/>
      <c r="G123" s="1"/>
    </row>
    <row r="124" spans="1:7" x14ac:dyDescent="0.15">
      <c r="A124" s="4"/>
      <c r="B124" s="4"/>
      <c r="C124" s="1"/>
      <c r="D124" s="1"/>
      <c r="E124" s="1"/>
      <c r="F124" s="1"/>
      <c r="G124" s="1"/>
    </row>
    <row r="125" spans="1:7" x14ac:dyDescent="0.15">
      <c r="A125" s="4"/>
      <c r="B125" s="4"/>
      <c r="C125" s="1"/>
      <c r="D125" s="1"/>
      <c r="E125" s="1"/>
      <c r="F125" s="1"/>
      <c r="G125" s="1"/>
    </row>
    <row r="126" spans="1:7" x14ac:dyDescent="0.15">
      <c r="A126" s="4"/>
      <c r="B126" s="4"/>
      <c r="C126" s="1"/>
      <c r="D126" s="1"/>
      <c r="E126" s="1"/>
      <c r="F126" s="1"/>
      <c r="G126" s="1"/>
    </row>
    <row r="127" spans="1:7" x14ac:dyDescent="0.15">
      <c r="A127" s="4"/>
      <c r="B127" s="4"/>
      <c r="C127" s="1"/>
      <c r="D127" s="1"/>
      <c r="E127" s="1"/>
      <c r="F127" s="1"/>
      <c r="G127" s="1"/>
    </row>
    <row r="128" spans="1:7" x14ac:dyDescent="0.15">
      <c r="A128" s="4"/>
      <c r="B128" s="4"/>
      <c r="C128" s="1"/>
      <c r="D128" s="1"/>
      <c r="E128" s="1"/>
      <c r="F128" s="1"/>
      <c r="G128" s="1"/>
    </row>
    <row r="129" spans="1:7" x14ac:dyDescent="0.15">
      <c r="A129" s="4"/>
      <c r="B129" s="4"/>
      <c r="C129" s="1"/>
      <c r="D129" s="1"/>
      <c r="E129" s="1"/>
      <c r="F129" s="1"/>
      <c r="G129" s="1"/>
    </row>
    <row r="130" spans="1:7" x14ac:dyDescent="0.15">
      <c r="A130" s="4"/>
      <c r="B130" s="4"/>
      <c r="C130" s="1"/>
      <c r="D130" s="1"/>
      <c r="E130" s="1"/>
      <c r="F130" s="1"/>
      <c r="G130" s="1"/>
    </row>
    <row r="131" spans="1:7" x14ac:dyDescent="0.15">
      <c r="A131" s="4"/>
      <c r="B131" s="4"/>
      <c r="C131" s="1"/>
      <c r="D131" s="1"/>
      <c r="E131" s="1"/>
      <c r="F131" s="1"/>
      <c r="G131" s="1"/>
    </row>
    <row r="132" spans="1:7" x14ac:dyDescent="0.15">
      <c r="A132" s="4"/>
      <c r="B132" s="4"/>
      <c r="C132" s="1"/>
      <c r="D132" s="1"/>
      <c r="E132" s="1"/>
      <c r="F132" s="1"/>
      <c r="G132" s="1"/>
    </row>
    <row r="133" spans="1:7" x14ac:dyDescent="0.15">
      <c r="A133" s="4"/>
      <c r="B133" s="4"/>
      <c r="C133" s="1"/>
      <c r="D133" s="1"/>
      <c r="E133" s="1"/>
      <c r="F133" s="1"/>
      <c r="G133" s="1"/>
    </row>
    <row r="134" spans="1:7" x14ac:dyDescent="0.15">
      <c r="A134" s="4"/>
      <c r="B134" s="4"/>
      <c r="C134" s="1"/>
      <c r="D134" s="1"/>
      <c r="E134" s="1"/>
      <c r="F134" s="1"/>
      <c r="G134" s="1"/>
    </row>
    <row r="135" spans="1:7" x14ac:dyDescent="0.15">
      <c r="A135" s="4"/>
      <c r="B135" s="4"/>
      <c r="C135" s="1"/>
      <c r="D135" s="1"/>
      <c r="E135" s="1"/>
      <c r="F135" s="1"/>
      <c r="G135" s="1"/>
    </row>
    <row r="136" spans="1:7" x14ac:dyDescent="0.15">
      <c r="A136" s="4"/>
      <c r="B136" s="4"/>
      <c r="C136" s="1"/>
      <c r="D136" s="1"/>
      <c r="E136" s="1"/>
      <c r="F136" s="1"/>
      <c r="G136" s="1"/>
    </row>
    <row r="137" spans="1:7" x14ac:dyDescent="0.15">
      <c r="A137" s="4"/>
      <c r="B137" s="4"/>
      <c r="C137" s="1"/>
      <c r="D137" s="1"/>
      <c r="E137" s="1"/>
      <c r="F137" s="1"/>
      <c r="G137" s="1"/>
    </row>
    <row r="138" spans="1:7" x14ac:dyDescent="0.15">
      <c r="A138" s="4"/>
      <c r="B138" s="4"/>
      <c r="C138" s="1"/>
      <c r="D138" s="1"/>
      <c r="E138" s="1"/>
      <c r="F138" s="1"/>
      <c r="G138" s="1"/>
    </row>
    <row r="139" spans="1:7" x14ac:dyDescent="0.15">
      <c r="A139" s="4"/>
      <c r="B139" s="4"/>
      <c r="C139" s="1"/>
      <c r="D139" s="1"/>
      <c r="E139" s="1"/>
      <c r="F139" s="1"/>
      <c r="G139" s="1"/>
    </row>
    <row r="140" spans="1:7" x14ac:dyDescent="0.15">
      <c r="A140" s="4"/>
      <c r="B140" s="4"/>
      <c r="C140" s="1"/>
      <c r="D140" s="1"/>
      <c r="E140" s="1"/>
      <c r="F140" s="1"/>
      <c r="G140" s="1"/>
    </row>
    <row r="141" spans="1:7" x14ac:dyDescent="0.15">
      <c r="A141" s="4"/>
      <c r="B141" s="4"/>
      <c r="C141" s="1"/>
      <c r="D141" s="1"/>
      <c r="E141" s="1"/>
      <c r="F141" s="1"/>
      <c r="G141" s="1"/>
    </row>
    <row r="142" spans="1:7" x14ac:dyDescent="0.15">
      <c r="A142" s="4"/>
      <c r="B142" s="4"/>
      <c r="C142" s="1"/>
      <c r="D142" s="1"/>
      <c r="E142" s="1"/>
      <c r="F142" s="1"/>
      <c r="G142" s="1"/>
    </row>
    <row r="143" spans="1:7" x14ac:dyDescent="0.15">
      <c r="A143" s="4"/>
      <c r="B143" s="4"/>
      <c r="C143" s="1"/>
      <c r="D143" s="1"/>
      <c r="E143" s="1"/>
      <c r="F143" s="1"/>
      <c r="G143" s="1"/>
    </row>
    <row r="144" spans="1:7" x14ac:dyDescent="0.15">
      <c r="A144" s="4"/>
      <c r="B144" s="4"/>
      <c r="C144" s="1"/>
      <c r="D144" s="1"/>
      <c r="E144" s="1"/>
      <c r="F144" s="1"/>
      <c r="G144" s="1"/>
    </row>
    <row r="145" spans="1:7" x14ac:dyDescent="0.15">
      <c r="A145" s="4"/>
      <c r="B145" s="4"/>
      <c r="C145" s="1"/>
      <c r="D145" s="1"/>
      <c r="E145" s="1"/>
      <c r="F145" s="1"/>
      <c r="G145" s="1"/>
    </row>
    <row r="146" spans="1:7" x14ac:dyDescent="0.15">
      <c r="A146" s="4"/>
      <c r="B146" s="4"/>
      <c r="C146" s="1"/>
      <c r="D146" s="1"/>
      <c r="E146" s="1"/>
      <c r="F146" s="1"/>
      <c r="G146" s="1"/>
    </row>
    <row r="147" spans="1:7" x14ac:dyDescent="0.15">
      <c r="A147" s="4"/>
      <c r="B147" s="4"/>
      <c r="C147" s="1"/>
      <c r="D147" s="1"/>
      <c r="E147" s="1"/>
      <c r="F147" s="1"/>
      <c r="G147" s="1"/>
    </row>
    <row r="148" spans="1:7" x14ac:dyDescent="0.15">
      <c r="A148" s="4"/>
      <c r="B148" s="4"/>
      <c r="C148" s="1"/>
      <c r="D148" s="1"/>
      <c r="E148" s="1"/>
      <c r="F148" s="1"/>
      <c r="G148" s="1"/>
    </row>
    <row r="149" spans="1:7" x14ac:dyDescent="0.15">
      <c r="A149" s="4"/>
      <c r="B149" s="4"/>
      <c r="C149" s="1"/>
      <c r="D149" s="1"/>
      <c r="E149" s="1"/>
      <c r="F149" s="1"/>
      <c r="G149" s="1"/>
    </row>
    <row r="150" spans="1:7" x14ac:dyDescent="0.15">
      <c r="A150" s="4"/>
      <c r="B150" s="4"/>
      <c r="C150" s="1"/>
      <c r="D150" s="1"/>
      <c r="E150" s="1"/>
      <c r="F150" s="1"/>
      <c r="G150" s="1"/>
    </row>
    <row r="151" spans="1:7" x14ac:dyDescent="0.15">
      <c r="A151" s="4"/>
      <c r="B151" s="4"/>
      <c r="C151" s="1"/>
      <c r="D151" s="1"/>
      <c r="E151" s="1"/>
      <c r="F151" s="1"/>
      <c r="G151" s="1"/>
    </row>
    <row r="152" spans="1:7" x14ac:dyDescent="0.15">
      <c r="A152" s="4"/>
      <c r="B152" s="4"/>
      <c r="C152" s="1"/>
      <c r="D152" s="1"/>
      <c r="E152" s="1"/>
      <c r="F152" s="1"/>
      <c r="G152" s="1"/>
    </row>
    <row r="153" spans="1:7" x14ac:dyDescent="0.15">
      <c r="A153" s="4"/>
      <c r="B153" s="4"/>
      <c r="C153" s="1"/>
      <c r="D153" s="1"/>
      <c r="E153" s="1"/>
      <c r="F153" s="1"/>
      <c r="G153" s="1"/>
    </row>
    <row r="154" spans="1:7" x14ac:dyDescent="0.15">
      <c r="A154" s="4"/>
      <c r="B154" s="4"/>
      <c r="C154" s="1"/>
      <c r="D154" s="1"/>
      <c r="E154" s="1"/>
      <c r="F154" s="1"/>
      <c r="G154" s="1"/>
    </row>
    <row r="155" spans="1:7" x14ac:dyDescent="0.15">
      <c r="A155" s="4"/>
      <c r="B155" s="4"/>
      <c r="C155" s="1"/>
      <c r="D155" s="1"/>
      <c r="E155" s="1"/>
      <c r="F155" s="1"/>
      <c r="G155" s="1"/>
    </row>
    <row r="156" spans="1:7" x14ac:dyDescent="0.15">
      <c r="A156" s="4"/>
      <c r="B156" s="4"/>
      <c r="C156" s="1"/>
      <c r="D156" s="1"/>
      <c r="E156" s="1"/>
      <c r="F156" s="1"/>
      <c r="G156" s="1"/>
    </row>
    <row r="157" spans="1:7" x14ac:dyDescent="0.15">
      <c r="A157" s="4"/>
      <c r="B157" s="4"/>
      <c r="C157" s="1"/>
      <c r="D157" s="1"/>
      <c r="E157" s="1"/>
      <c r="F157" s="1"/>
      <c r="G157" s="1"/>
    </row>
    <row r="158" spans="1:7" x14ac:dyDescent="0.15">
      <c r="A158" s="4"/>
      <c r="B158" s="4"/>
      <c r="C158" s="1"/>
      <c r="D158" s="1"/>
      <c r="E158" s="1"/>
      <c r="F158" s="1"/>
      <c r="G158" s="1"/>
    </row>
    <row r="159" spans="1:7" x14ac:dyDescent="0.15">
      <c r="A159" s="4"/>
      <c r="B159" s="4"/>
      <c r="C159" s="1"/>
      <c r="D159" s="1"/>
      <c r="E159" s="1"/>
      <c r="F159" s="1"/>
      <c r="G159" s="1"/>
    </row>
    <row r="160" spans="1:7" x14ac:dyDescent="0.15">
      <c r="A160" s="4"/>
      <c r="B160" s="4"/>
      <c r="C160" s="1"/>
      <c r="D160" s="1"/>
      <c r="E160" s="1"/>
      <c r="F160" s="1"/>
      <c r="G160" s="1"/>
    </row>
    <row r="161" spans="1:7" x14ac:dyDescent="0.15">
      <c r="A161" s="4"/>
      <c r="B161" s="4"/>
      <c r="C161" s="1"/>
      <c r="D161" s="1"/>
      <c r="E161" s="1"/>
      <c r="F161" s="1"/>
      <c r="G161" s="1"/>
    </row>
    <row r="162" spans="1:7" x14ac:dyDescent="0.15">
      <c r="A162" s="4"/>
      <c r="B162" s="4"/>
      <c r="C162" s="1"/>
      <c r="D162" s="1"/>
      <c r="E162" s="1"/>
      <c r="F162" s="1"/>
      <c r="G162" s="1"/>
    </row>
    <row r="163" spans="1:7" x14ac:dyDescent="0.15">
      <c r="A163" s="4"/>
      <c r="B163" s="4"/>
      <c r="C163" s="1"/>
      <c r="D163" s="1"/>
      <c r="E163" s="1"/>
      <c r="F163" s="1"/>
      <c r="G163" s="1"/>
    </row>
    <row r="164" spans="1:7" x14ac:dyDescent="0.15">
      <c r="A164" s="4"/>
      <c r="B164" s="4"/>
      <c r="C164" s="1"/>
      <c r="D164" s="1"/>
      <c r="E164" s="1"/>
      <c r="F164" s="1"/>
      <c r="G164" s="1"/>
    </row>
    <row r="165" spans="1:7" x14ac:dyDescent="0.15">
      <c r="A165" s="4"/>
      <c r="B165" s="4"/>
      <c r="C165" s="1"/>
      <c r="D165" s="1"/>
      <c r="E165" s="1"/>
      <c r="F165" s="1"/>
      <c r="G165" s="1"/>
    </row>
    <row r="166" spans="1:7" x14ac:dyDescent="0.15">
      <c r="A166" s="4"/>
      <c r="B166" s="4"/>
      <c r="C166" s="1"/>
      <c r="D166" s="1"/>
      <c r="E166" s="1"/>
      <c r="F166" s="1"/>
      <c r="G166" s="1"/>
    </row>
    <row r="167" spans="1:7" x14ac:dyDescent="0.15">
      <c r="A167" s="4"/>
      <c r="B167" s="4"/>
      <c r="C167" s="1"/>
      <c r="D167" s="1"/>
      <c r="E167" s="1"/>
      <c r="F167" s="1"/>
      <c r="G167" s="1"/>
    </row>
    <row r="168" spans="1:7" x14ac:dyDescent="0.15">
      <c r="A168" s="4"/>
      <c r="B168" s="4"/>
      <c r="C168" s="1"/>
      <c r="D168" s="1"/>
      <c r="E168" s="1"/>
      <c r="F168" s="1"/>
      <c r="G168" s="1"/>
    </row>
    <row r="169" spans="1:7" x14ac:dyDescent="0.15">
      <c r="A169" s="4"/>
      <c r="B169" s="4"/>
      <c r="C169" s="1"/>
      <c r="D169" s="1"/>
      <c r="E169" s="1"/>
      <c r="F169" s="1"/>
      <c r="G169" s="1"/>
    </row>
    <row r="170" spans="1:7" x14ac:dyDescent="0.15">
      <c r="A170" s="4"/>
      <c r="B170" s="4"/>
      <c r="C170" s="1"/>
      <c r="D170" s="1"/>
      <c r="E170" s="1"/>
      <c r="F170" s="1"/>
      <c r="G170" s="1"/>
    </row>
    <row r="171" spans="1:7" x14ac:dyDescent="0.15">
      <c r="A171" s="4"/>
      <c r="B171" s="4"/>
      <c r="C171" s="1"/>
      <c r="D171" s="1"/>
      <c r="E171" s="1"/>
      <c r="F171" s="1"/>
      <c r="G171" s="1"/>
    </row>
    <row r="172" spans="1:7" x14ac:dyDescent="0.15">
      <c r="A172" s="4"/>
      <c r="B172" s="4"/>
      <c r="C172" s="1"/>
      <c r="D172" s="1"/>
      <c r="E172" s="1"/>
      <c r="F172" s="1"/>
      <c r="G172" s="1"/>
    </row>
    <row r="173" spans="1:7" x14ac:dyDescent="0.15">
      <c r="A173" s="4"/>
      <c r="B173" s="4"/>
      <c r="C173" s="1"/>
      <c r="D173" s="1"/>
      <c r="E173" s="1"/>
      <c r="F173" s="1"/>
      <c r="G173" s="1"/>
    </row>
    <row r="174" spans="1:7" x14ac:dyDescent="0.15">
      <c r="A174" s="4"/>
      <c r="B174" s="4"/>
      <c r="C174" s="1"/>
      <c r="D174" s="1"/>
      <c r="E174" s="1"/>
      <c r="F174" s="1"/>
      <c r="G174" s="1"/>
    </row>
    <row r="175" spans="1:7" x14ac:dyDescent="0.15">
      <c r="A175" s="4"/>
      <c r="B175" s="4"/>
      <c r="C175" s="1"/>
      <c r="D175" s="1"/>
      <c r="E175" s="1"/>
      <c r="F175" s="1"/>
      <c r="G175" s="1"/>
    </row>
    <row r="176" spans="1:7" x14ac:dyDescent="0.15">
      <c r="A176" s="4"/>
      <c r="B176" s="4"/>
      <c r="C176" s="1"/>
      <c r="D176" s="1"/>
      <c r="E176" s="1"/>
      <c r="F176" s="1"/>
      <c r="G176" s="1"/>
    </row>
    <row r="177" spans="1:7" x14ac:dyDescent="0.15">
      <c r="A177" s="4"/>
      <c r="B177" s="4"/>
      <c r="C177" s="1"/>
      <c r="D177" s="1"/>
      <c r="E177" s="1"/>
      <c r="F177" s="1"/>
      <c r="G177" s="1"/>
    </row>
    <row r="178" spans="1:7" x14ac:dyDescent="0.15">
      <c r="A178" s="4"/>
      <c r="B178" s="4"/>
      <c r="C178" s="1"/>
      <c r="D178" s="1"/>
      <c r="E178" s="1"/>
      <c r="F178" s="1"/>
      <c r="G178" s="1"/>
    </row>
    <row r="179" spans="1:7" x14ac:dyDescent="0.15">
      <c r="A179" s="4"/>
      <c r="B179" s="4"/>
      <c r="C179" s="1"/>
      <c r="D179" s="1"/>
      <c r="E179" s="1"/>
      <c r="F179" s="1"/>
      <c r="G179" s="1"/>
    </row>
    <row r="180" spans="1:7" x14ac:dyDescent="0.15">
      <c r="A180" s="4"/>
      <c r="B180" s="4"/>
      <c r="C180" s="1"/>
      <c r="D180" s="1"/>
      <c r="E180" s="1"/>
      <c r="F180" s="1"/>
      <c r="G180" s="1"/>
    </row>
    <row r="181" spans="1:7" x14ac:dyDescent="0.15">
      <c r="A181" s="4"/>
      <c r="B181" s="4"/>
      <c r="C181" s="1"/>
      <c r="D181" s="1"/>
      <c r="E181" s="1"/>
      <c r="F181" s="1"/>
      <c r="G181" s="1"/>
    </row>
    <row r="182" spans="1:7" x14ac:dyDescent="0.15">
      <c r="A182" s="4"/>
      <c r="B182" s="4"/>
      <c r="C182" s="1"/>
      <c r="D182" s="1"/>
      <c r="E182" s="1"/>
      <c r="F182" s="1"/>
      <c r="G182" s="1"/>
    </row>
    <row r="183" spans="1:7" x14ac:dyDescent="0.15">
      <c r="A183" s="4"/>
      <c r="B183" s="4"/>
      <c r="C183" s="1"/>
      <c r="D183" s="1"/>
      <c r="E183" s="1"/>
      <c r="F183" s="1"/>
      <c r="G183" s="1"/>
    </row>
    <row r="184" spans="1:7" x14ac:dyDescent="0.15">
      <c r="A184" s="4"/>
      <c r="B184" s="4"/>
      <c r="C184" s="1"/>
      <c r="D184" s="1"/>
      <c r="E184" s="1"/>
      <c r="F184" s="1"/>
      <c r="G184" s="1"/>
    </row>
    <row r="185" spans="1:7" x14ac:dyDescent="0.15">
      <c r="A185" s="4"/>
      <c r="B185" s="4"/>
      <c r="C185" s="1"/>
      <c r="D185" s="1"/>
      <c r="E185" s="1"/>
      <c r="F185" s="1"/>
      <c r="G185" s="1"/>
    </row>
    <row r="186" spans="1:7" x14ac:dyDescent="0.15">
      <c r="A186" s="4"/>
      <c r="B186" s="4"/>
      <c r="C186" s="1"/>
      <c r="D186" s="1"/>
      <c r="E186" s="1"/>
      <c r="F186" s="1"/>
      <c r="G186" s="1"/>
    </row>
    <row r="187" spans="1:7" x14ac:dyDescent="0.15">
      <c r="A187" s="4"/>
      <c r="B187" s="4"/>
      <c r="C187" s="1"/>
      <c r="D187" s="1"/>
      <c r="E187" s="1"/>
      <c r="F187" s="1"/>
      <c r="G187" s="1"/>
    </row>
    <row r="188" spans="1:7" x14ac:dyDescent="0.15">
      <c r="A188" s="4"/>
      <c r="B188" s="4"/>
      <c r="C188" s="1"/>
      <c r="D188" s="1"/>
      <c r="E188" s="1"/>
      <c r="F188" s="1"/>
      <c r="G188" s="1"/>
    </row>
    <row r="189" spans="1:7" x14ac:dyDescent="0.15">
      <c r="A189" s="4"/>
      <c r="B189" s="4"/>
      <c r="C189" s="1"/>
      <c r="D189" s="1"/>
      <c r="E189" s="1"/>
      <c r="F189" s="1"/>
      <c r="G189" s="1"/>
    </row>
    <row r="190" spans="1:7" x14ac:dyDescent="0.15">
      <c r="A190" s="4"/>
      <c r="B190" s="4"/>
      <c r="C190" s="1"/>
      <c r="D190" s="1"/>
      <c r="E190" s="1"/>
      <c r="F190" s="1"/>
      <c r="G190" s="1"/>
    </row>
    <row r="191" spans="1:7" x14ac:dyDescent="0.15">
      <c r="A191" s="4"/>
      <c r="B191" s="4"/>
      <c r="C191" s="1"/>
      <c r="D191" s="1"/>
      <c r="E191" s="1"/>
      <c r="F191" s="1"/>
      <c r="G191" s="1"/>
    </row>
    <row r="192" spans="1:7" x14ac:dyDescent="0.15">
      <c r="A192" s="4"/>
      <c r="B192" s="4"/>
      <c r="C192" s="1"/>
      <c r="D192" s="1"/>
      <c r="E192" s="1"/>
      <c r="F192" s="1"/>
      <c r="G192" s="1"/>
    </row>
    <row r="193" spans="1:7" x14ac:dyDescent="0.15">
      <c r="A193" s="4"/>
      <c r="B193" s="4"/>
      <c r="C193" s="1"/>
      <c r="D193" s="1"/>
      <c r="E193" s="1"/>
      <c r="F193" s="1"/>
      <c r="G193" s="1"/>
    </row>
    <row r="194" spans="1:7" x14ac:dyDescent="0.15">
      <c r="A194" s="4"/>
      <c r="B194" s="4"/>
      <c r="C194" s="1"/>
      <c r="D194" s="1"/>
      <c r="E194" s="1"/>
      <c r="F194" s="1"/>
      <c r="G194" s="1"/>
    </row>
    <row r="195" spans="1:7" x14ac:dyDescent="0.15">
      <c r="A195" s="4"/>
      <c r="B195" s="4"/>
      <c r="C195" s="1"/>
      <c r="D195" s="1"/>
      <c r="E195" s="1"/>
      <c r="F195" s="1"/>
      <c r="G195" s="1"/>
    </row>
    <row r="196" spans="1:7" x14ac:dyDescent="0.15">
      <c r="A196" s="4"/>
      <c r="B196" s="4"/>
      <c r="C196" s="1"/>
      <c r="D196" s="1"/>
      <c r="E196" s="1"/>
      <c r="F196" s="1"/>
      <c r="G196" s="1"/>
    </row>
    <row r="197" spans="1:7" x14ac:dyDescent="0.15">
      <c r="A197" s="4"/>
      <c r="B197" s="4"/>
      <c r="C197" s="1"/>
      <c r="D197" s="1"/>
      <c r="E197" s="1"/>
      <c r="F197" s="1"/>
      <c r="G197" s="1"/>
    </row>
    <row r="198" spans="1:7" x14ac:dyDescent="0.15">
      <c r="A198" s="4"/>
      <c r="B198" s="4"/>
      <c r="C198" s="1"/>
      <c r="D198" s="1"/>
      <c r="E198" s="1"/>
      <c r="F198" s="1"/>
      <c r="G198" s="1"/>
    </row>
    <row r="199" spans="1:7" x14ac:dyDescent="0.15">
      <c r="A199" s="4"/>
      <c r="B199" s="4"/>
      <c r="C199" s="1"/>
      <c r="D199" s="1"/>
      <c r="E199" s="1"/>
      <c r="F199" s="1"/>
      <c r="G199" s="1"/>
    </row>
    <row r="200" spans="1:7" x14ac:dyDescent="0.15">
      <c r="A200" s="4"/>
      <c r="B200" s="4"/>
      <c r="C200" s="1"/>
      <c r="D200" s="1"/>
      <c r="E200" s="1"/>
      <c r="F200" s="1"/>
      <c r="G200" s="1"/>
    </row>
    <row r="201" spans="1:7" x14ac:dyDescent="0.15">
      <c r="A201" s="4"/>
      <c r="B201" s="4"/>
      <c r="C201" s="1"/>
      <c r="D201" s="1"/>
      <c r="E201" s="1"/>
      <c r="F201" s="1"/>
      <c r="G201" s="1"/>
    </row>
    <row r="202" spans="1:7" x14ac:dyDescent="0.15">
      <c r="A202" s="4"/>
      <c r="B202" s="4"/>
      <c r="C202" s="1"/>
      <c r="D202" s="1"/>
      <c r="E202" s="1"/>
      <c r="F202" s="1"/>
      <c r="G202" s="1"/>
    </row>
    <row r="203" spans="1:7" x14ac:dyDescent="0.15">
      <c r="A203" s="4"/>
      <c r="B203" s="4"/>
      <c r="C203" s="1"/>
      <c r="D203" s="1"/>
      <c r="E203" s="1"/>
      <c r="F203" s="1"/>
      <c r="G203" s="1"/>
    </row>
    <row r="204" spans="1:7" x14ac:dyDescent="0.15">
      <c r="A204" s="4"/>
      <c r="B204" s="4"/>
      <c r="C204" s="1"/>
      <c r="D204" s="1"/>
      <c r="E204" s="1"/>
      <c r="F204" s="1"/>
      <c r="G204" s="1"/>
    </row>
    <row r="205" spans="1:7" x14ac:dyDescent="0.15">
      <c r="A205" s="4"/>
      <c r="B205" s="4"/>
      <c r="C205" s="1"/>
      <c r="D205" s="1"/>
      <c r="E205" s="1"/>
      <c r="F205" s="1"/>
      <c r="G205" s="1"/>
    </row>
    <row r="206" spans="1:7" x14ac:dyDescent="0.15">
      <c r="A206" s="4"/>
      <c r="B206" s="4"/>
      <c r="C206" s="1"/>
      <c r="D206" s="1"/>
      <c r="E206" s="1"/>
      <c r="F206" s="1"/>
      <c r="G206" s="1"/>
    </row>
    <row r="207" spans="1:7" x14ac:dyDescent="0.15">
      <c r="A207" s="4"/>
      <c r="B207" s="4"/>
      <c r="C207" s="1"/>
      <c r="D207" s="1"/>
      <c r="E207" s="1"/>
      <c r="F207" s="1"/>
      <c r="G207" s="1"/>
    </row>
    <row r="208" spans="1:7" x14ac:dyDescent="0.15">
      <c r="A208" s="4"/>
      <c r="B208" s="4"/>
      <c r="C208" s="1"/>
      <c r="D208" s="1"/>
      <c r="E208" s="1"/>
      <c r="F208" s="1"/>
      <c r="G208" s="1"/>
    </row>
    <row r="209" spans="1:7" x14ac:dyDescent="0.15">
      <c r="A209" s="4"/>
      <c r="B209" s="4"/>
      <c r="C209" s="1"/>
      <c r="D209" s="1"/>
      <c r="E209" s="1"/>
      <c r="F209" s="1"/>
      <c r="G209" s="1"/>
    </row>
    <row r="210" spans="1:7" x14ac:dyDescent="0.15">
      <c r="A210" s="4"/>
      <c r="B210" s="4"/>
      <c r="C210" s="1"/>
      <c r="D210" s="1"/>
      <c r="E210" s="1"/>
      <c r="F210" s="1"/>
      <c r="G210" s="1"/>
    </row>
    <row r="211" spans="1:7" x14ac:dyDescent="0.15">
      <c r="A211" s="4"/>
      <c r="B211" s="4"/>
      <c r="C211" s="1"/>
      <c r="D211" s="1"/>
      <c r="E211" s="1"/>
      <c r="F211" s="1"/>
      <c r="G211" s="1"/>
    </row>
    <row r="212" spans="1:7" x14ac:dyDescent="0.15">
      <c r="A212" s="4"/>
      <c r="B212" s="4"/>
      <c r="C212" s="1"/>
      <c r="D212" s="1"/>
      <c r="E212" s="1"/>
      <c r="F212" s="1"/>
      <c r="G212" s="1"/>
    </row>
    <row r="213" spans="1:7" x14ac:dyDescent="0.15">
      <c r="A213" s="4"/>
      <c r="B213" s="4"/>
      <c r="C213" s="1"/>
      <c r="D213" s="1"/>
      <c r="E213" s="1"/>
      <c r="F213" s="1"/>
      <c r="G213" s="1"/>
    </row>
    <row r="214" spans="1:7" x14ac:dyDescent="0.15">
      <c r="A214" s="4"/>
      <c r="B214" s="4"/>
      <c r="C214" s="1"/>
      <c r="D214" s="1"/>
      <c r="E214" s="1"/>
      <c r="F214" s="1"/>
      <c r="G214" s="1"/>
    </row>
    <row r="215" spans="1:7" x14ac:dyDescent="0.15">
      <c r="A215" s="4"/>
      <c r="B215" s="4"/>
      <c r="C215" s="1"/>
      <c r="D215" s="1"/>
      <c r="E215" s="1"/>
      <c r="F215" s="1"/>
      <c r="G215" s="1"/>
    </row>
    <row r="216" spans="1:7" x14ac:dyDescent="0.15">
      <c r="A216" s="4"/>
      <c r="B216" s="4"/>
      <c r="C216" s="1"/>
      <c r="D216" s="1"/>
      <c r="E216" s="1"/>
      <c r="F216" s="1"/>
      <c r="G216" s="1"/>
    </row>
    <row r="217" spans="1:7" x14ac:dyDescent="0.15">
      <c r="A217" s="4"/>
      <c r="B217" s="4"/>
      <c r="C217" s="1"/>
      <c r="D217" s="1"/>
      <c r="E217" s="1"/>
      <c r="F217" s="1"/>
      <c r="G217" s="1"/>
    </row>
    <row r="218" spans="1:7" x14ac:dyDescent="0.15">
      <c r="A218" s="4"/>
      <c r="B218" s="4"/>
      <c r="C218" s="1"/>
      <c r="D218" s="1"/>
      <c r="E218" s="1"/>
      <c r="F218" s="1"/>
      <c r="G218" s="1"/>
    </row>
    <row r="219" spans="1:7" x14ac:dyDescent="0.15">
      <c r="A219" s="4"/>
      <c r="B219" s="4"/>
      <c r="C219" s="1"/>
      <c r="D219" s="1"/>
      <c r="E219" s="1"/>
      <c r="F219" s="1"/>
      <c r="G219" s="1"/>
    </row>
    <row r="220" spans="1:7" x14ac:dyDescent="0.15">
      <c r="A220" s="4"/>
      <c r="B220" s="4"/>
      <c r="C220" s="1"/>
      <c r="D220" s="1"/>
      <c r="E220" s="1"/>
      <c r="F220" s="1"/>
      <c r="G220" s="1"/>
    </row>
    <row r="221" spans="1:7" x14ac:dyDescent="0.15">
      <c r="A221" s="4"/>
      <c r="B221" s="4"/>
      <c r="C221" s="1"/>
      <c r="D221" s="1"/>
      <c r="E221" s="1"/>
      <c r="F221" s="1"/>
      <c r="G221" s="1"/>
    </row>
    <row r="222" spans="1:7" x14ac:dyDescent="0.15">
      <c r="A222" s="4"/>
      <c r="B222" s="4"/>
      <c r="C222" s="1"/>
      <c r="D222" s="1"/>
      <c r="E222" s="1"/>
      <c r="F222" s="1"/>
      <c r="G222" s="1"/>
    </row>
    <row r="223" spans="1:7" x14ac:dyDescent="0.15">
      <c r="A223" s="4"/>
      <c r="B223" s="4"/>
      <c r="C223" s="1"/>
      <c r="D223" s="1"/>
      <c r="E223" s="1"/>
      <c r="F223" s="1"/>
      <c r="G223" s="1"/>
    </row>
    <row r="224" spans="1:7" x14ac:dyDescent="0.15">
      <c r="A224" s="4"/>
      <c r="B224" s="4"/>
      <c r="C224" s="1"/>
      <c r="D224" s="1"/>
      <c r="E224" s="1"/>
      <c r="F224" s="1"/>
      <c r="G224" s="1"/>
    </row>
    <row r="225" spans="1:7" x14ac:dyDescent="0.15">
      <c r="A225" s="4"/>
      <c r="B225" s="4"/>
      <c r="C225" s="1"/>
      <c r="D225" s="1"/>
      <c r="E225" s="1"/>
      <c r="F225" s="1"/>
      <c r="G225" s="1"/>
    </row>
    <row r="226" spans="1:7" x14ac:dyDescent="0.15">
      <c r="A226" s="4"/>
      <c r="B226" s="4"/>
      <c r="C226" s="1"/>
      <c r="D226" s="1"/>
      <c r="E226" s="1"/>
      <c r="F226" s="1"/>
      <c r="G226" s="1"/>
    </row>
    <row r="227" spans="1:7" x14ac:dyDescent="0.15">
      <c r="A227" s="4"/>
      <c r="B227" s="4"/>
      <c r="C227" s="1"/>
      <c r="D227" s="1"/>
      <c r="E227" s="1"/>
      <c r="F227" s="1"/>
      <c r="G227" s="1"/>
    </row>
    <row r="228" spans="1:7" x14ac:dyDescent="0.15">
      <c r="A228" s="4"/>
      <c r="B228" s="4"/>
      <c r="C228" s="1"/>
      <c r="D228" s="1"/>
      <c r="E228" s="1"/>
      <c r="F228" s="1"/>
      <c r="G228" s="1"/>
    </row>
    <row r="229" spans="1:7" x14ac:dyDescent="0.15">
      <c r="A229" s="4"/>
      <c r="B229" s="4"/>
      <c r="C229" s="1"/>
      <c r="D229" s="1"/>
      <c r="E229" s="1"/>
      <c r="F229" s="1"/>
      <c r="G229" s="1"/>
    </row>
    <row r="230" spans="1:7" x14ac:dyDescent="0.15">
      <c r="A230" s="4"/>
      <c r="B230" s="4"/>
      <c r="C230" s="1"/>
      <c r="D230" s="1"/>
      <c r="E230" s="1"/>
      <c r="F230" s="1"/>
      <c r="G230" s="1"/>
    </row>
    <row r="231" spans="1:7" x14ac:dyDescent="0.15">
      <c r="A231" s="4"/>
      <c r="B231" s="4"/>
      <c r="C231" s="1"/>
      <c r="D231" s="1"/>
      <c r="E231" s="1"/>
      <c r="F231" s="1"/>
      <c r="G231" s="1"/>
    </row>
    <row r="232" spans="1:7" x14ac:dyDescent="0.15">
      <c r="A232" s="4"/>
      <c r="B232" s="4"/>
      <c r="C232" s="1"/>
      <c r="D232" s="1"/>
      <c r="E232" s="1"/>
      <c r="F232" s="1"/>
      <c r="G232" s="1"/>
    </row>
    <row r="233" spans="1:7" x14ac:dyDescent="0.15">
      <c r="A233" s="4"/>
      <c r="B233" s="4"/>
      <c r="C233" s="1"/>
      <c r="D233" s="1"/>
      <c r="E233" s="1"/>
      <c r="F233" s="1"/>
      <c r="G233" s="1"/>
    </row>
    <row r="234" spans="1:7" x14ac:dyDescent="0.15">
      <c r="A234" s="4"/>
      <c r="B234" s="4"/>
      <c r="C234" s="1"/>
      <c r="D234" s="1"/>
      <c r="E234" s="1"/>
      <c r="F234" s="1"/>
      <c r="G234" s="1"/>
    </row>
    <row r="235" spans="1:7" x14ac:dyDescent="0.15">
      <c r="A235" s="4"/>
      <c r="B235" s="4"/>
      <c r="C235" s="1"/>
      <c r="D235" s="1"/>
      <c r="E235" s="1"/>
      <c r="F235" s="1"/>
      <c r="G235" s="1"/>
    </row>
    <row r="236" spans="1:7" x14ac:dyDescent="0.15">
      <c r="A236" s="4"/>
      <c r="B236" s="4"/>
      <c r="C236" s="1"/>
      <c r="D236" s="1"/>
      <c r="E236" s="1"/>
      <c r="F236" s="1"/>
      <c r="G236" s="1"/>
    </row>
    <row r="237" spans="1:7" x14ac:dyDescent="0.15">
      <c r="A237" s="4"/>
      <c r="B237" s="4"/>
      <c r="C237" s="1"/>
      <c r="D237" s="1"/>
      <c r="E237" s="1"/>
      <c r="F237" s="1"/>
      <c r="G237" s="1"/>
    </row>
    <row r="238" spans="1:7" x14ac:dyDescent="0.15">
      <c r="A238" s="4"/>
      <c r="B238" s="4"/>
      <c r="C238" s="1"/>
      <c r="D238" s="1"/>
      <c r="E238" s="1"/>
      <c r="F238" s="1"/>
      <c r="G238" s="1"/>
    </row>
    <row r="239" spans="1:7" x14ac:dyDescent="0.15">
      <c r="A239" s="4"/>
      <c r="B239" s="4"/>
      <c r="C239" s="1"/>
      <c r="D239" s="1"/>
      <c r="E239" s="1"/>
      <c r="F239" s="1"/>
      <c r="G239" s="1"/>
    </row>
    <row r="240" spans="1:7" x14ac:dyDescent="0.15">
      <c r="A240" s="4"/>
      <c r="B240" s="4"/>
      <c r="C240" s="1"/>
      <c r="D240" s="1"/>
      <c r="E240" s="1"/>
      <c r="F240" s="1"/>
      <c r="G240" s="1"/>
    </row>
    <row r="241" spans="1:7" x14ac:dyDescent="0.15">
      <c r="A241" s="4"/>
      <c r="B241" s="4"/>
      <c r="C241" s="1"/>
      <c r="D241" s="1"/>
      <c r="E241" s="1"/>
      <c r="F241" s="1"/>
      <c r="G241" s="1"/>
    </row>
    <row r="242" spans="1:7" x14ac:dyDescent="0.15">
      <c r="A242" s="4"/>
      <c r="B242" s="4"/>
      <c r="C242" s="1"/>
      <c r="D242" s="1"/>
      <c r="E242" s="1"/>
      <c r="F242" s="1"/>
      <c r="G242" s="1"/>
    </row>
    <row r="243" spans="1:7" x14ac:dyDescent="0.15">
      <c r="A243" s="4"/>
      <c r="B243" s="4"/>
      <c r="C243" s="1"/>
      <c r="D243" s="1"/>
      <c r="E243" s="1"/>
      <c r="F243" s="1"/>
      <c r="G243" s="1"/>
    </row>
    <row r="244" spans="1:7" x14ac:dyDescent="0.15">
      <c r="A244" s="4"/>
      <c r="B244" s="4"/>
      <c r="C244" s="1"/>
      <c r="D244" s="1"/>
      <c r="E244" s="1"/>
      <c r="F244" s="1"/>
      <c r="G244" s="1"/>
    </row>
    <row r="245" spans="1:7" x14ac:dyDescent="0.15">
      <c r="A245" s="4"/>
      <c r="B245" s="4"/>
      <c r="C245" s="1"/>
      <c r="D245" s="1"/>
      <c r="E245" s="1"/>
      <c r="F245" s="1"/>
      <c r="G245" s="1"/>
    </row>
    <row r="246" spans="1:7" x14ac:dyDescent="0.15">
      <c r="A246" s="4"/>
      <c r="B246" s="4"/>
      <c r="C246" s="1"/>
      <c r="D246" s="1"/>
      <c r="E246" s="1"/>
      <c r="F246" s="1"/>
      <c r="G246" s="1"/>
    </row>
    <row r="247" spans="1:7" x14ac:dyDescent="0.15">
      <c r="A247" s="4"/>
      <c r="B247" s="4"/>
      <c r="C247" s="1"/>
      <c r="D247" s="1"/>
      <c r="E247" s="1"/>
      <c r="F247" s="1"/>
      <c r="G247" s="1"/>
    </row>
    <row r="248" spans="1:7" x14ac:dyDescent="0.15">
      <c r="A248" s="4"/>
      <c r="B248" s="4"/>
      <c r="C248" s="1"/>
      <c r="D248" s="1"/>
      <c r="E248" s="1"/>
      <c r="F248" s="1"/>
      <c r="G248" s="1"/>
    </row>
    <row r="249" spans="1:7" x14ac:dyDescent="0.15">
      <c r="A249" s="4"/>
      <c r="B249" s="4"/>
      <c r="C249" s="1"/>
      <c r="D249" s="1"/>
      <c r="E249" s="1"/>
      <c r="F249" s="1"/>
      <c r="G249" s="1"/>
    </row>
    <row r="250" spans="1:7" x14ac:dyDescent="0.15">
      <c r="A250" s="4"/>
      <c r="B250" s="4"/>
      <c r="C250" s="1"/>
      <c r="D250" s="1"/>
      <c r="E250" s="1"/>
      <c r="F250" s="1"/>
      <c r="G250" s="1"/>
    </row>
    <row r="251" spans="1:7" x14ac:dyDescent="0.15">
      <c r="A251" s="4"/>
      <c r="B251" s="4"/>
      <c r="C251" s="1"/>
      <c r="D251" s="1"/>
      <c r="E251" s="1"/>
      <c r="F251" s="1"/>
      <c r="G251" s="1"/>
    </row>
    <row r="252" spans="1:7" x14ac:dyDescent="0.15">
      <c r="A252" s="4"/>
      <c r="B252" s="4"/>
      <c r="C252" s="1"/>
      <c r="D252" s="1"/>
      <c r="E252" s="1"/>
      <c r="F252" s="1"/>
      <c r="G252" s="1"/>
    </row>
    <row r="253" spans="1:7" x14ac:dyDescent="0.15">
      <c r="A253" s="4"/>
      <c r="B253" s="4"/>
      <c r="C253" s="1"/>
      <c r="D253" s="1"/>
      <c r="E253" s="1"/>
      <c r="F253" s="1"/>
      <c r="G253" s="1"/>
    </row>
    <row r="254" spans="1:7" x14ac:dyDescent="0.15">
      <c r="A254" s="4"/>
      <c r="B254" s="4"/>
      <c r="C254" s="1"/>
      <c r="D254" s="1"/>
      <c r="E254" s="1"/>
      <c r="F254" s="1"/>
      <c r="G254" s="1"/>
    </row>
    <row r="255" spans="1:7" x14ac:dyDescent="0.15">
      <c r="A255" s="4"/>
      <c r="B255" s="4"/>
      <c r="C255" s="1"/>
      <c r="D255" s="1"/>
      <c r="E255" s="1"/>
      <c r="F255" s="1"/>
      <c r="G255" s="1"/>
    </row>
    <row r="256" spans="1:7" x14ac:dyDescent="0.15">
      <c r="A256" s="4"/>
      <c r="B256" s="4"/>
      <c r="C256" s="1"/>
      <c r="D256" s="1"/>
      <c r="E256" s="1"/>
      <c r="F256" s="1"/>
      <c r="G256" s="1"/>
    </row>
    <row r="257" spans="1:7" x14ac:dyDescent="0.15">
      <c r="A257" s="4"/>
      <c r="B257" s="4"/>
      <c r="C257" s="1"/>
      <c r="D257" s="1"/>
      <c r="E257" s="1"/>
      <c r="F257" s="1"/>
      <c r="G257" s="1"/>
    </row>
    <row r="258" spans="1:7" x14ac:dyDescent="0.15">
      <c r="A258" s="4"/>
      <c r="B258" s="4"/>
      <c r="C258" s="1"/>
      <c r="D258" s="1"/>
      <c r="E258" s="1"/>
      <c r="F258" s="1"/>
      <c r="G258" s="1"/>
    </row>
    <row r="259" spans="1:7" x14ac:dyDescent="0.15">
      <c r="A259" s="4"/>
      <c r="B259" s="4"/>
      <c r="C259" s="1"/>
      <c r="D259" s="1"/>
      <c r="E259" s="1"/>
      <c r="F259" s="1"/>
      <c r="G259" s="1"/>
    </row>
    <row r="260" spans="1:7" x14ac:dyDescent="0.15">
      <c r="A260" s="4"/>
      <c r="B260" s="4"/>
      <c r="C260" s="1"/>
      <c r="D260" s="1"/>
      <c r="E260" s="1"/>
      <c r="F260" s="1"/>
      <c r="G260" s="1"/>
    </row>
    <row r="261" spans="1:7" x14ac:dyDescent="0.15">
      <c r="A261" s="4"/>
      <c r="B261" s="4"/>
      <c r="C261" s="1"/>
      <c r="D261" s="1"/>
      <c r="E261" s="1"/>
      <c r="F261" s="1"/>
      <c r="G261" s="1"/>
    </row>
    <row r="262" spans="1:7" x14ac:dyDescent="0.15">
      <c r="A262" s="4"/>
      <c r="B262" s="4"/>
      <c r="C262" s="1"/>
      <c r="D262" s="1"/>
      <c r="E262" s="1"/>
      <c r="F262" s="1"/>
      <c r="G262" s="1"/>
    </row>
    <row r="263" spans="1:7" x14ac:dyDescent="0.15">
      <c r="A263" s="4"/>
      <c r="B263" s="4"/>
      <c r="C263" s="1"/>
      <c r="D263" s="1"/>
      <c r="E263" s="1"/>
      <c r="F263" s="1"/>
      <c r="G263" s="1"/>
    </row>
    <row r="264" spans="1:7" x14ac:dyDescent="0.15">
      <c r="A264" s="4"/>
      <c r="B264" s="4"/>
      <c r="C264" s="1"/>
      <c r="D264" s="1"/>
      <c r="E264" s="1"/>
      <c r="F264" s="1"/>
      <c r="G264" s="1"/>
    </row>
    <row r="265" spans="1:7" x14ac:dyDescent="0.15">
      <c r="A265" s="4"/>
      <c r="B265" s="4"/>
      <c r="C265" s="1"/>
      <c r="D265" s="1"/>
      <c r="E265" s="1"/>
      <c r="F265" s="1"/>
      <c r="G265" s="1"/>
    </row>
    <row r="266" spans="1:7" x14ac:dyDescent="0.15">
      <c r="A266" s="4"/>
      <c r="B266" s="4"/>
      <c r="C266" s="1"/>
      <c r="D266" s="1"/>
      <c r="E266" s="1"/>
      <c r="F266" s="1"/>
      <c r="G266" s="1"/>
    </row>
    <row r="267" spans="1:7" x14ac:dyDescent="0.15">
      <c r="A267" s="4"/>
      <c r="B267" s="4"/>
      <c r="C267" s="1"/>
      <c r="D267" s="1"/>
      <c r="E267" s="1"/>
      <c r="F267" s="1"/>
      <c r="G267" s="1"/>
    </row>
    <row r="268" spans="1:7" x14ac:dyDescent="0.15">
      <c r="A268" s="4"/>
      <c r="B268" s="4"/>
      <c r="C268" s="1"/>
      <c r="D268" s="1"/>
      <c r="E268" s="1"/>
      <c r="F268" s="1"/>
      <c r="G268" s="1"/>
    </row>
    <row r="269" spans="1:7" x14ac:dyDescent="0.15">
      <c r="A269" s="4"/>
      <c r="B269" s="4"/>
      <c r="C269" s="1"/>
      <c r="D269" s="1"/>
      <c r="E269" s="1"/>
      <c r="F269" s="1"/>
      <c r="G269" s="1"/>
    </row>
    <row r="270" spans="1:7" x14ac:dyDescent="0.15">
      <c r="A270" s="4"/>
      <c r="B270" s="4"/>
      <c r="C270" s="1"/>
      <c r="D270" s="1"/>
      <c r="E270" s="1"/>
      <c r="F270" s="1"/>
      <c r="G270" s="1"/>
    </row>
    <row r="271" spans="1:7" x14ac:dyDescent="0.15">
      <c r="A271" s="4"/>
      <c r="B271" s="4"/>
      <c r="C271" s="1"/>
      <c r="D271" s="1"/>
      <c r="E271" s="1"/>
      <c r="F271" s="1"/>
      <c r="G271" s="1"/>
    </row>
    <row r="272" spans="1:7" x14ac:dyDescent="0.15">
      <c r="A272" s="4"/>
      <c r="B272" s="4"/>
      <c r="C272" s="1"/>
      <c r="D272" s="1"/>
      <c r="E272" s="1"/>
      <c r="F272" s="1"/>
      <c r="G272" s="1"/>
    </row>
    <row r="273" spans="1:7" x14ac:dyDescent="0.15">
      <c r="A273" s="4"/>
      <c r="B273" s="4"/>
      <c r="C273" s="1"/>
      <c r="D273" s="1"/>
      <c r="E273" s="1"/>
      <c r="F273" s="1"/>
      <c r="G273" s="1"/>
    </row>
    <row r="274" spans="1:7" x14ac:dyDescent="0.15">
      <c r="A274" s="4"/>
      <c r="B274" s="4"/>
      <c r="C274" s="1"/>
      <c r="D274" s="1"/>
      <c r="E274" s="1"/>
      <c r="F274" s="1"/>
      <c r="G274" s="1"/>
    </row>
    <row r="275" spans="1:7" x14ac:dyDescent="0.15">
      <c r="A275" s="4"/>
      <c r="B275" s="4"/>
      <c r="C275" s="1"/>
      <c r="D275" s="1"/>
      <c r="E275" s="1"/>
      <c r="F275" s="1"/>
      <c r="G275" s="1"/>
    </row>
    <row r="276" spans="1:7" x14ac:dyDescent="0.15">
      <c r="A276" s="4"/>
      <c r="B276" s="4"/>
      <c r="C276" s="1"/>
      <c r="D276" s="1"/>
      <c r="E276" s="1"/>
      <c r="F276" s="1"/>
      <c r="G276" s="1"/>
    </row>
    <row r="277" spans="1:7" x14ac:dyDescent="0.15">
      <c r="A277" s="4"/>
      <c r="B277" s="4"/>
      <c r="C277" s="1"/>
      <c r="D277" s="1"/>
      <c r="E277" s="1"/>
      <c r="F277" s="1"/>
      <c r="G277" s="1"/>
    </row>
    <row r="278" spans="1:7" x14ac:dyDescent="0.15">
      <c r="A278" s="4"/>
      <c r="B278" s="4"/>
      <c r="C278" s="1"/>
      <c r="D278" s="1"/>
      <c r="E278" s="1"/>
      <c r="F278" s="1"/>
      <c r="G278" s="1"/>
    </row>
    <row r="279" spans="1:7" x14ac:dyDescent="0.15">
      <c r="A279" s="4"/>
      <c r="B279" s="4"/>
      <c r="C279" s="1"/>
      <c r="D279" s="1"/>
      <c r="E279" s="1"/>
      <c r="F279" s="1"/>
      <c r="G279" s="1"/>
    </row>
    <row r="280" spans="1:7" x14ac:dyDescent="0.15">
      <c r="A280" s="4"/>
      <c r="B280" s="4"/>
      <c r="C280" s="1"/>
      <c r="D280" s="1"/>
      <c r="E280" s="1"/>
      <c r="F280" s="1"/>
      <c r="G280" s="1"/>
    </row>
    <row r="281" spans="1:7" x14ac:dyDescent="0.15">
      <c r="A281" s="4"/>
      <c r="B281" s="4"/>
      <c r="C281" s="1"/>
      <c r="D281" s="1"/>
      <c r="E281" s="1"/>
      <c r="F281" s="1"/>
      <c r="G281" s="1"/>
    </row>
    <row r="282" spans="1:7" x14ac:dyDescent="0.15">
      <c r="A282" s="4"/>
      <c r="B282" s="4"/>
      <c r="C282" s="1"/>
      <c r="D282" s="1"/>
      <c r="E282" s="1"/>
      <c r="F282" s="1"/>
      <c r="G282" s="1"/>
    </row>
    <row r="283" spans="1:7" x14ac:dyDescent="0.15">
      <c r="A283" s="4"/>
      <c r="B283" s="4"/>
      <c r="C283" s="1"/>
      <c r="D283" s="1"/>
      <c r="E283" s="1"/>
      <c r="F283" s="1"/>
      <c r="G283" s="1"/>
    </row>
    <row r="284" spans="1:7" x14ac:dyDescent="0.15">
      <c r="A284" s="4"/>
      <c r="B284" s="4"/>
      <c r="C284" s="1"/>
      <c r="D284" s="1"/>
      <c r="E284" s="1"/>
      <c r="F284" s="1"/>
      <c r="G284" s="1"/>
    </row>
    <row r="285" spans="1:7" x14ac:dyDescent="0.15">
      <c r="A285" s="4"/>
      <c r="B285" s="4"/>
      <c r="C285" s="1"/>
      <c r="D285" s="1"/>
      <c r="E285" s="1"/>
      <c r="F285" s="1"/>
      <c r="G285" s="1"/>
    </row>
    <row r="286" spans="1:7" x14ac:dyDescent="0.15">
      <c r="A286" s="4"/>
      <c r="B286" s="4"/>
      <c r="C286" s="1"/>
      <c r="D286" s="1"/>
      <c r="E286" s="1"/>
      <c r="F286" s="1"/>
      <c r="G286" s="1"/>
    </row>
    <row r="287" spans="1:7" x14ac:dyDescent="0.15">
      <c r="A287" s="4"/>
      <c r="B287" s="4"/>
      <c r="C287" s="1"/>
      <c r="D287" s="1"/>
      <c r="E287" s="1"/>
      <c r="F287" s="1"/>
      <c r="G287" s="1"/>
    </row>
    <row r="288" spans="1:7" x14ac:dyDescent="0.15">
      <c r="A288" s="4"/>
      <c r="B288" s="4"/>
      <c r="C288" s="1"/>
      <c r="D288" s="1"/>
      <c r="E288" s="1"/>
      <c r="F288" s="1"/>
      <c r="G288" s="1"/>
    </row>
    <row r="289" spans="1:7" x14ac:dyDescent="0.15">
      <c r="A289" s="4"/>
      <c r="B289" s="4"/>
      <c r="C289" s="1"/>
      <c r="D289" s="1"/>
      <c r="E289" s="1"/>
      <c r="F289" s="1"/>
      <c r="G289" s="1"/>
    </row>
    <row r="290" spans="1:7" x14ac:dyDescent="0.15">
      <c r="A290" s="4"/>
      <c r="B290" s="4"/>
      <c r="C290" s="1"/>
      <c r="D290" s="1"/>
      <c r="E290" s="1"/>
      <c r="F290" s="1"/>
      <c r="G290" s="1"/>
    </row>
    <row r="291" spans="1:7" x14ac:dyDescent="0.15">
      <c r="A291" s="4"/>
      <c r="B291" s="4"/>
      <c r="C291" s="1"/>
      <c r="D291" s="1"/>
      <c r="E291" s="1"/>
      <c r="F291" s="1"/>
      <c r="G291" s="1"/>
    </row>
    <row r="292" spans="1:7" x14ac:dyDescent="0.15">
      <c r="A292" s="4"/>
      <c r="B292" s="4"/>
      <c r="C292" s="1"/>
      <c r="D292" s="1"/>
      <c r="E292" s="1"/>
      <c r="F292" s="1"/>
      <c r="G292" s="1"/>
    </row>
    <row r="293" spans="1:7" x14ac:dyDescent="0.15">
      <c r="A293" s="4"/>
      <c r="B293" s="4"/>
      <c r="C293" s="1"/>
      <c r="D293" s="1"/>
      <c r="E293" s="1"/>
      <c r="F293" s="1"/>
      <c r="G293" s="1"/>
    </row>
    <row r="294" spans="1:7" x14ac:dyDescent="0.15">
      <c r="A294" s="4"/>
      <c r="B294" s="4"/>
      <c r="C294" s="1"/>
      <c r="D294" s="1"/>
      <c r="E294" s="1"/>
      <c r="F294" s="1"/>
      <c r="G294" s="1"/>
    </row>
    <row r="295" spans="1:7" x14ac:dyDescent="0.15">
      <c r="A295" s="4"/>
      <c r="B295" s="4"/>
      <c r="C295" s="1"/>
      <c r="D295" s="1"/>
      <c r="E295" s="1"/>
      <c r="F295" s="1"/>
      <c r="G295" s="1"/>
    </row>
    <row r="296" spans="1:7" x14ac:dyDescent="0.15">
      <c r="A296" s="4"/>
      <c r="B296" s="4"/>
      <c r="C296" s="1"/>
      <c r="D296" s="1"/>
      <c r="E296" s="1"/>
      <c r="F296" s="1"/>
      <c r="G296" s="1"/>
    </row>
    <row r="297" spans="1:7" x14ac:dyDescent="0.15">
      <c r="A297" s="4"/>
      <c r="B297" s="4"/>
      <c r="C297" s="1"/>
      <c r="D297" s="1"/>
      <c r="E297" s="1"/>
      <c r="F297" s="1"/>
      <c r="G297" s="1"/>
    </row>
    <row r="298" spans="1:7" x14ac:dyDescent="0.15">
      <c r="A298" s="4"/>
      <c r="B298" s="4"/>
      <c r="C298" s="1"/>
      <c r="D298" s="1"/>
      <c r="E298" s="1"/>
      <c r="F298" s="1"/>
      <c r="G298" s="1"/>
    </row>
    <row r="299" spans="1:7" x14ac:dyDescent="0.15">
      <c r="A299" s="4"/>
      <c r="B299" s="4"/>
      <c r="C299" s="1"/>
      <c r="D299" s="1"/>
      <c r="E299" s="1"/>
      <c r="F299" s="1"/>
      <c r="G299" s="1"/>
    </row>
    <row r="300" spans="1:7" x14ac:dyDescent="0.15">
      <c r="A300" s="4"/>
      <c r="B300" s="4"/>
      <c r="C300" s="1"/>
      <c r="D300" s="1"/>
      <c r="E300" s="1"/>
      <c r="F300" s="1"/>
      <c r="G300" s="1"/>
    </row>
    <row r="301" spans="1:7" x14ac:dyDescent="0.15">
      <c r="A301" s="4"/>
      <c r="B301" s="4"/>
      <c r="C301" s="1"/>
      <c r="D301" s="1"/>
      <c r="E301" s="1"/>
      <c r="F301" s="1"/>
      <c r="G301" s="1"/>
    </row>
    <row r="302" spans="1:7" x14ac:dyDescent="0.15">
      <c r="A302" s="4"/>
      <c r="B302" s="4"/>
      <c r="C302" s="1"/>
      <c r="D302" s="1"/>
      <c r="E302" s="1"/>
      <c r="F302" s="1"/>
      <c r="G302" s="1"/>
    </row>
    <row r="303" spans="1:7" x14ac:dyDescent="0.15">
      <c r="A303" s="4"/>
      <c r="B303" s="4"/>
      <c r="C303" s="1"/>
      <c r="D303" s="1"/>
      <c r="E303" s="1"/>
      <c r="F303" s="1"/>
      <c r="G303" s="1"/>
    </row>
    <row r="304" spans="1:7" x14ac:dyDescent="0.15">
      <c r="A304" s="4"/>
      <c r="B304" s="4"/>
      <c r="C304" s="1"/>
      <c r="D304" s="1"/>
      <c r="E304" s="1"/>
      <c r="F304" s="1"/>
      <c r="G304" s="1"/>
    </row>
    <row r="305" spans="1:7" x14ac:dyDescent="0.15">
      <c r="A305" s="4"/>
      <c r="B305" s="4"/>
      <c r="C305" s="1"/>
      <c r="D305" s="1"/>
      <c r="E305" s="1"/>
      <c r="F305" s="1"/>
      <c r="G305" s="1"/>
    </row>
    <row r="306" spans="1:7" x14ac:dyDescent="0.15">
      <c r="A306" s="4"/>
      <c r="B306" s="4"/>
      <c r="C306" s="1"/>
      <c r="D306" s="1"/>
      <c r="E306" s="1"/>
      <c r="F306" s="1"/>
      <c r="G306" s="1"/>
    </row>
    <row r="307" spans="1:7" x14ac:dyDescent="0.15">
      <c r="A307" s="4"/>
      <c r="B307" s="4"/>
      <c r="C307" s="1"/>
      <c r="D307" s="1"/>
      <c r="E307" s="1"/>
      <c r="F307" s="1"/>
      <c r="G307" s="1"/>
    </row>
    <row r="308" spans="1:7" x14ac:dyDescent="0.15">
      <c r="A308" s="4"/>
      <c r="B308" s="4"/>
      <c r="C308" s="1"/>
      <c r="D308" s="1"/>
      <c r="E308" s="1"/>
      <c r="F308" s="1"/>
      <c r="G308" s="1"/>
    </row>
    <row r="309" spans="1:7" x14ac:dyDescent="0.15">
      <c r="A309" s="4"/>
      <c r="B309" s="4"/>
      <c r="C309" s="1"/>
      <c r="D309" s="1"/>
      <c r="E309" s="1"/>
      <c r="F309" s="1"/>
      <c r="G309" s="1"/>
    </row>
    <row r="310" spans="1:7" x14ac:dyDescent="0.15">
      <c r="A310" s="4"/>
      <c r="B310" s="4"/>
      <c r="C310" s="1"/>
      <c r="D310" s="1"/>
      <c r="E310" s="1"/>
      <c r="F310" s="1"/>
      <c r="G310" s="1"/>
    </row>
    <row r="311" spans="1:7" x14ac:dyDescent="0.15">
      <c r="A311" s="4"/>
      <c r="B311" s="4"/>
      <c r="C311" s="1"/>
      <c r="D311" s="1"/>
      <c r="E311" s="1"/>
      <c r="F311" s="1"/>
      <c r="G311" s="1"/>
    </row>
    <row r="312" spans="1:7" x14ac:dyDescent="0.15">
      <c r="A312" s="4"/>
      <c r="B312" s="4"/>
      <c r="C312" s="1"/>
      <c r="D312" s="1"/>
      <c r="E312" s="1"/>
      <c r="F312" s="1"/>
      <c r="G312" s="1"/>
    </row>
    <row r="313" spans="1:7" x14ac:dyDescent="0.15">
      <c r="A313" s="4"/>
      <c r="B313" s="4"/>
      <c r="C313" s="1"/>
      <c r="D313" s="1"/>
      <c r="E313" s="1"/>
      <c r="F313" s="1"/>
      <c r="G313" s="1"/>
    </row>
    <row r="314" spans="1:7" x14ac:dyDescent="0.15">
      <c r="A314" s="4"/>
      <c r="B314" s="4"/>
      <c r="C314" s="1"/>
      <c r="D314" s="1"/>
      <c r="E314" s="1"/>
      <c r="F314" s="1"/>
      <c r="G314" s="1"/>
    </row>
    <row r="315" spans="1:7" x14ac:dyDescent="0.15">
      <c r="A315" s="4"/>
      <c r="B315" s="4"/>
      <c r="C315" s="1"/>
      <c r="D315" s="1"/>
      <c r="E315" s="1"/>
      <c r="F315" s="1"/>
      <c r="G315" s="1"/>
    </row>
    <row r="316" spans="1:7" x14ac:dyDescent="0.15">
      <c r="A316" s="4"/>
      <c r="B316" s="4"/>
      <c r="C316" s="1"/>
      <c r="D316" s="1"/>
      <c r="E316" s="1"/>
      <c r="F316" s="1"/>
      <c r="G316" s="1"/>
    </row>
    <row r="317" spans="1:7" x14ac:dyDescent="0.15">
      <c r="A317" s="4"/>
      <c r="B317" s="4"/>
      <c r="C317" s="1"/>
      <c r="D317" s="1"/>
      <c r="E317" s="1"/>
      <c r="F317" s="1"/>
      <c r="G317" s="1"/>
    </row>
    <row r="318" spans="1:7" x14ac:dyDescent="0.15">
      <c r="A318" s="4"/>
      <c r="B318" s="4"/>
      <c r="C318" s="1"/>
      <c r="D318" s="1"/>
      <c r="E318" s="1"/>
      <c r="F318" s="1"/>
      <c r="G318" s="1"/>
    </row>
    <row r="319" spans="1:7" x14ac:dyDescent="0.15">
      <c r="A319" s="4"/>
      <c r="B319" s="4"/>
      <c r="C319" s="1"/>
      <c r="D319" s="1"/>
      <c r="E319" s="1"/>
      <c r="F319" s="1"/>
      <c r="G319" s="1"/>
    </row>
    <row r="320" spans="1:7" x14ac:dyDescent="0.15">
      <c r="A320" s="4"/>
      <c r="B320" s="4"/>
      <c r="C320" s="1"/>
      <c r="D320" s="1"/>
      <c r="E320" s="1"/>
      <c r="F320" s="1"/>
      <c r="G320" s="1"/>
    </row>
    <row r="321" spans="1:7" x14ac:dyDescent="0.15">
      <c r="A321" s="4"/>
      <c r="B321" s="4"/>
      <c r="C321" s="1"/>
      <c r="D321" s="1"/>
      <c r="E321" s="1"/>
      <c r="F321" s="1"/>
      <c r="G321" s="1"/>
    </row>
    <row r="322" spans="1:7" x14ac:dyDescent="0.15">
      <c r="A322" s="4"/>
      <c r="B322" s="4"/>
      <c r="C322" s="1"/>
      <c r="D322" s="1"/>
      <c r="E322" s="1"/>
      <c r="F322" s="1"/>
      <c r="G322" s="1"/>
    </row>
    <row r="323" spans="1:7" x14ac:dyDescent="0.15">
      <c r="A323" s="4"/>
      <c r="B323" s="4"/>
      <c r="C323" s="1"/>
      <c r="D323" s="1"/>
      <c r="E323" s="1"/>
      <c r="F323" s="1"/>
      <c r="G323" s="1"/>
    </row>
    <row r="324" spans="1:7" x14ac:dyDescent="0.15">
      <c r="A324" s="4"/>
      <c r="B324" s="4"/>
      <c r="C324" s="1"/>
      <c r="D324" s="1"/>
      <c r="E324" s="1"/>
      <c r="F324" s="1"/>
      <c r="G324" s="1"/>
    </row>
    <row r="325" spans="1:7" x14ac:dyDescent="0.15">
      <c r="A325" s="4"/>
      <c r="B325" s="4"/>
      <c r="C325" s="1"/>
      <c r="D325" s="1"/>
      <c r="E325" s="1"/>
      <c r="F325" s="1"/>
      <c r="G325" s="1"/>
    </row>
    <row r="326" spans="1:7" x14ac:dyDescent="0.15">
      <c r="A326" s="4"/>
      <c r="B326" s="4"/>
      <c r="C326" s="1"/>
      <c r="D326" s="1"/>
      <c r="E326" s="1"/>
      <c r="F326" s="1"/>
      <c r="G326" s="1"/>
    </row>
    <row r="327" spans="1:7" x14ac:dyDescent="0.15">
      <c r="A327" s="4"/>
      <c r="B327" s="4"/>
      <c r="C327" s="1"/>
      <c r="D327" s="1"/>
      <c r="E327" s="1"/>
      <c r="F327" s="1"/>
      <c r="G327" s="1"/>
    </row>
    <row r="328" spans="1:7" x14ac:dyDescent="0.15">
      <c r="A328" s="4"/>
      <c r="B328" s="4"/>
      <c r="C328" s="1"/>
      <c r="D328" s="1"/>
      <c r="E328" s="1"/>
      <c r="F328" s="1"/>
      <c r="G328" s="1"/>
    </row>
    <row r="329" spans="1:7" x14ac:dyDescent="0.15">
      <c r="A329" s="4"/>
      <c r="B329" s="4"/>
      <c r="C329" s="1"/>
      <c r="D329" s="1"/>
      <c r="E329" s="1"/>
      <c r="F329" s="1"/>
      <c r="G329" s="1"/>
    </row>
    <row r="330" spans="1:7" x14ac:dyDescent="0.15">
      <c r="A330" s="4"/>
      <c r="B330" s="4"/>
      <c r="C330" s="1"/>
      <c r="D330" s="1"/>
      <c r="E330" s="1"/>
      <c r="F330" s="1"/>
      <c r="G330" s="1"/>
    </row>
    <row r="331" spans="1:7" x14ac:dyDescent="0.15">
      <c r="A331" s="4"/>
      <c r="B331" s="4"/>
      <c r="C331" s="1"/>
      <c r="D331" s="1"/>
      <c r="E331" s="1"/>
      <c r="F331" s="1"/>
      <c r="G331" s="1"/>
    </row>
    <row r="332" spans="1:7" x14ac:dyDescent="0.15">
      <c r="A332" s="4"/>
      <c r="B332" s="4"/>
      <c r="C332" s="1"/>
      <c r="D332" s="1"/>
      <c r="E332" s="1"/>
      <c r="F332" s="1"/>
      <c r="G332" s="1"/>
    </row>
    <row r="333" spans="1:7" x14ac:dyDescent="0.15">
      <c r="A333" s="4"/>
      <c r="B333" s="4"/>
      <c r="C333" s="1"/>
      <c r="D333" s="1"/>
      <c r="E333" s="1"/>
      <c r="F333" s="1"/>
      <c r="G333" s="1"/>
    </row>
    <row r="334" spans="1:7" x14ac:dyDescent="0.15">
      <c r="A334" s="4"/>
      <c r="B334" s="4"/>
      <c r="C334" s="1"/>
      <c r="D334" s="1"/>
      <c r="E334" s="1"/>
      <c r="F334" s="1"/>
      <c r="G334" s="1"/>
    </row>
    <row r="335" spans="1:7" x14ac:dyDescent="0.15">
      <c r="A335" s="4"/>
      <c r="B335" s="4"/>
      <c r="C335" s="1"/>
      <c r="D335" s="1"/>
      <c r="E335" s="1"/>
      <c r="F335" s="1"/>
      <c r="G335" s="1"/>
    </row>
    <row r="336" spans="1:7" x14ac:dyDescent="0.15">
      <c r="A336" s="4"/>
      <c r="B336" s="4"/>
      <c r="C336" s="1"/>
      <c r="D336" s="1"/>
      <c r="E336" s="1"/>
      <c r="F336" s="1"/>
      <c r="G336" s="1"/>
    </row>
    <row r="337" spans="1:7" x14ac:dyDescent="0.15">
      <c r="A337" s="4"/>
      <c r="B337" s="4"/>
      <c r="C337" s="1"/>
      <c r="D337" s="1"/>
      <c r="E337" s="1"/>
      <c r="F337" s="1"/>
      <c r="G337" s="1"/>
    </row>
    <row r="338" spans="1:7" x14ac:dyDescent="0.15">
      <c r="A338" s="4"/>
      <c r="B338" s="4"/>
      <c r="C338" s="1"/>
      <c r="D338" s="1"/>
      <c r="E338" s="1"/>
      <c r="F338" s="1"/>
      <c r="G338" s="1"/>
    </row>
    <row r="339" spans="1:7" x14ac:dyDescent="0.15">
      <c r="A339" s="4"/>
      <c r="B339" s="4"/>
      <c r="C339" s="1"/>
      <c r="D339" s="1"/>
      <c r="E339" s="1"/>
      <c r="F339" s="1"/>
      <c r="G339" s="1"/>
    </row>
    <row r="340" spans="1:7" x14ac:dyDescent="0.15">
      <c r="A340" s="4"/>
      <c r="B340" s="4"/>
      <c r="C340" s="1"/>
      <c r="D340" s="1"/>
      <c r="E340" s="1"/>
      <c r="F340" s="1"/>
      <c r="G340" s="1"/>
    </row>
    <row r="341" spans="1:7" x14ac:dyDescent="0.15">
      <c r="A341" s="4"/>
      <c r="B341" s="4"/>
      <c r="C341" s="1"/>
      <c r="D341" s="1"/>
      <c r="E341" s="1"/>
      <c r="F341" s="1"/>
      <c r="G341" s="1"/>
    </row>
    <row r="342" spans="1:7" x14ac:dyDescent="0.15">
      <c r="A342" s="4"/>
      <c r="B342" s="4"/>
      <c r="C342" s="1"/>
      <c r="D342" s="1"/>
      <c r="E342" s="1"/>
      <c r="F342" s="1"/>
      <c r="G342" s="1"/>
    </row>
    <row r="343" spans="1:7" x14ac:dyDescent="0.15">
      <c r="A343" s="4"/>
      <c r="B343" s="4"/>
      <c r="C343" s="1"/>
      <c r="D343" s="1"/>
      <c r="E343" s="1"/>
      <c r="F343" s="1"/>
      <c r="G343" s="1"/>
    </row>
    <row r="344" spans="1:7" x14ac:dyDescent="0.15">
      <c r="A344" s="4"/>
      <c r="B344" s="4"/>
      <c r="C344" s="1"/>
      <c r="D344" s="1"/>
      <c r="E344" s="1"/>
      <c r="F344" s="1"/>
      <c r="G344" s="1"/>
    </row>
    <row r="345" spans="1:7" x14ac:dyDescent="0.15">
      <c r="A345" s="4"/>
      <c r="B345" s="4"/>
      <c r="C345" s="1"/>
      <c r="D345" s="1"/>
      <c r="E345" s="1"/>
      <c r="F345" s="1"/>
      <c r="G345" s="1"/>
    </row>
    <row r="346" spans="1:7" x14ac:dyDescent="0.15">
      <c r="A346" s="4"/>
      <c r="B346" s="4"/>
      <c r="C346" s="1"/>
      <c r="D346" s="1"/>
      <c r="E346" s="1"/>
      <c r="F346" s="1"/>
      <c r="G346" s="1"/>
    </row>
    <row r="347" spans="1:7" x14ac:dyDescent="0.15">
      <c r="A347" s="4"/>
      <c r="B347" s="4"/>
      <c r="C347" s="1"/>
      <c r="D347" s="1"/>
      <c r="E347" s="1"/>
      <c r="F347" s="1"/>
      <c r="G347" s="1"/>
    </row>
    <row r="348" spans="1:7" x14ac:dyDescent="0.15">
      <c r="A348" s="4"/>
      <c r="B348" s="4"/>
      <c r="C348" s="1"/>
      <c r="D348" s="1"/>
      <c r="E348" s="1"/>
      <c r="F348" s="1"/>
      <c r="G348" s="1"/>
    </row>
    <row r="349" spans="1:7" x14ac:dyDescent="0.15">
      <c r="A349" s="4"/>
      <c r="B349" s="4"/>
      <c r="C349" s="1"/>
      <c r="D349" s="1"/>
      <c r="E349" s="1"/>
      <c r="F349" s="1"/>
      <c r="G349" s="1"/>
    </row>
    <row r="350" spans="1:7" x14ac:dyDescent="0.15">
      <c r="A350" s="4"/>
      <c r="B350" s="4"/>
      <c r="C350" s="1"/>
      <c r="D350" s="1"/>
      <c r="E350" s="1"/>
      <c r="F350" s="1"/>
      <c r="G350" s="1"/>
    </row>
    <row r="351" spans="1:7" x14ac:dyDescent="0.15">
      <c r="A351" s="4"/>
      <c r="B351" s="4"/>
      <c r="C351" s="1"/>
      <c r="D351" s="1"/>
      <c r="E351" s="1"/>
      <c r="F351" s="1"/>
      <c r="G351" s="1"/>
    </row>
    <row r="352" spans="1:7" x14ac:dyDescent="0.15">
      <c r="A352" s="4"/>
      <c r="B352" s="4"/>
      <c r="C352" s="1"/>
      <c r="D352" s="1"/>
      <c r="E352" s="1"/>
      <c r="F352" s="1"/>
      <c r="G352" s="1"/>
    </row>
    <row r="353" spans="1:7" x14ac:dyDescent="0.15">
      <c r="A353" s="4"/>
      <c r="B353" s="4"/>
      <c r="C353" s="1"/>
      <c r="D353" s="1"/>
      <c r="E353" s="1"/>
      <c r="F353" s="1"/>
      <c r="G353" s="1"/>
    </row>
    <row r="354" spans="1:7" x14ac:dyDescent="0.15">
      <c r="A354" s="4"/>
      <c r="B354" s="4"/>
      <c r="C354" s="1"/>
      <c r="D354" s="1"/>
      <c r="E354" s="1"/>
      <c r="F354" s="1"/>
      <c r="G354" s="1"/>
    </row>
    <row r="355" spans="1:7" x14ac:dyDescent="0.15">
      <c r="A355" s="4"/>
      <c r="B355" s="4"/>
      <c r="C355" s="1"/>
      <c r="D355" s="1"/>
      <c r="E355" s="1"/>
      <c r="F355" s="1"/>
      <c r="G355" s="1"/>
    </row>
    <row r="356" spans="1:7" x14ac:dyDescent="0.15">
      <c r="A356" s="4"/>
      <c r="B356" s="4"/>
      <c r="C356" s="1"/>
      <c r="D356" s="1"/>
      <c r="E356" s="1"/>
      <c r="F356" s="1"/>
      <c r="G356" s="1"/>
    </row>
    <row r="357" spans="1:7" x14ac:dyDescent="0.15">
      <c r="A357" s="4"/>
      <c r="B357" s="4"/>
      <c r="C357" s="1"/>
      <c r="D357" s="1"/>
      <c r="E357" s="1"/>
      <c r="F357" s="1"/>
      <c r="G357" s="1"/>
    </row>
    <row r="358" spans="1:7" x14ac:dyDescent="0.15">
      <c r="A358" s="4"/>
      <c r="B358" s="4"/>
      <c r="C358" s="1"/>
      <c r="D358" s="1"/>
      <c r="E358" s="1"/>
      <c r="F358" s="1"/>
      <c r="G358" s="1"/>
    </row>
    <row r="359" spans="1:7" x14ac:dyDescent="0.15">
      <c r="A359" s="4"/>
      <c r="B359" s="4"/>
      <c r="C359" s="1"/>
      <c r="D359" s="1"/>
      <c r="E359" s="1"/>
      <c r="F359" s="1"/>
      <c r="G359" s="1"/>
    </row>
    <row r="360" spans="1:7" x14ac:dyDescent="0.15">
      <c r="A360" s="4"/>
      <c r="B360" s="4"/>
      <c r="C360" s="1"/>
      <c r="D360" s="1"/>
      <c r="E360" s="1"/>
      <c r="F360" s="1"/>
      <c r="G360" s="1"/>
    </row>
    <row r="361" spans="1:7" x14ac:dyDescent="0.15">
      <c r="A361" s="4"/>
      <c r="B361" s="4"/>
      <c r="C361" s="1"/>
      <c r="D361" s="1"/>
      <c r="E361" s="1"/>
      <c r="F361" s="1"/>
      <c r="G361" s="1"/>
    </row>
    <row r="362" spans="1:7" x14ac:dyDescent="0.15">
      <c r="A362" s="4"/>
      <c r="B362" s="4"/>
      <c r="C362" s="1"/>
      <c r="D362" s="1"/>
      <c r="E362" s="1"/>
      <c r="F362" s="1"/>
      <c r="G362" s="1"/>
    </row>
    <row r="363" spans="1:7" x14ac:dyDescent="0.15">
      <c r="A363" s="4"/>
      <c r="B363" s="4"/>
      <c r="C363" s="1"/>
      <c r="D363" s="1"/>
      <c r="E363" s="1"/>
      <c r="F363" s="1"/>
      <c r="G363" s="1"/>
    </row>
    <row r="364" spans="1:7" x14ac:dyDescent="0.15">
      <c r="A364" s="4"/>
      <c r="B364" s="4"/>
      <c r="C364" s="1"/>
      <c r="D364" s="1"/>
      <c r="E364" s="1"/>
      <c r="F364" s="1"/>
      <c r="G364" s="1"/>
    </row>
    <row r="365" spans="1:7" x14ac:dyDescent="0.15">
      <c r="A365" s="4"/>
      <c r="B365" s="4"/>
      <c r="C365" s="1"/>
      <c r="D365" s="1"/>
      <c r="E365" s="1"/>
      <c r="F365" s="1"/>
      <c r="G365" s="1"/>
    </row>
    <row r="366" spans="1:7" x14ac:dyDescent="0.15">
      <c r="A366" s="4"/>
      <c r="B366" s="4"/>
      <c r="C366" s="1"/>
      <c r="D366" s="1"/>
      <c r="E366" s="1"/>
      <c r="F366" s="1"/>
      <c r="G366" s="1"/>
    </row>
    <row r="367" spans="1:7" x14ac:dyDescent="0.15">
      <c r="A367" s="4"/>
      <c r="B367" s="4"/>
      <c r="C367" s="1"/>
      <c r="D367" s="1"/>
      <c r="E367" s="1"/>
      <c r="F367" s="1"/>
      <c r="G367" s="1"/>
    </row>
    <row r="368" spans="1:7" x14ac:dyDescent="0.15">
      <c r="A368" s="4"/>
      <c r="B368" s="4"/>
      <c r="C368" s="1"/>
      <c r="D368" s="1"/>
      <c r="E368" s="1"/>
      <c r="F368" s="1"/>
      <c r="G368" s="1"/>
    </row>
    <row r="369" spans="1:7" x14ac:dyDescent="0.15">
      <c r="A369" s="4"/>
      <c r="B369" s="4"/>
      <c r="C369" s="1"/>
      <c r="D369" s="1"/>
      <c r="E369" s="1"/>
      <c r="F369" s="1"/>
      <c r="G369" s="1"/>
    </row>
    <row r="370" spans="1:7" x14ac:dyDescent="0.15">
      <c r="A370" s="4"/>
      <c r="B370" s="4"/>
      <c r="C370" s="1"/>
      <c r="D370" s="1"/>
      <c r="E370" s="1"/>
      <c r="F370" s="1"/>
      <c r="G370" s="1"/>
    </row>
    <row r="371" spans="1:7" x14ac:dyDescent="0.15">
      <c r="A371" s="4"/>
      <c r="B371" s="4"/>
      <c r="C371" s="1"/>
      <c r="D371" s="1"/>
      <c r="E371" s="1"/>
      <c r="F371" s="1"/>
      <c r="G371" s="1"/>
    </row>
    <row r="372" spans="1:7" x14ac:dyDescent="0.15">
      <c r="A372" s="4"/>
      <c r="B372" s="4"/>
      <c r="C372" s="1"/>
      <c r="D372" s="1"/>
      <c r="E372" s="1"/>
      <c r="F372" s="1"/>
      <c r="G372" s="1"/>
    </row>
    <row r="373" spans="1:7" x14ac:dyDescent="0.15">
      <c r="A373" s="4"/>
      <c r="B373" s="4"/>
      <c r="C373" s="1"/>
      <c r="D373" s="1"/>
      <c r="E373" s="1"/>
      <c r="F373" s="1"/>
      <c r="G373" s="1"/>
    </row>
    <row r="374" spans="1:7" x14ac:dyDescent="0.15">
      <c r="A374" s="4"/>
      <c r="B374" s="4"/>
      <c r="C374" s="1"/>
      <c r="D374" s="1"/>
      <c r="E374" s="1"/>
      <c r="F374" s="1"/>
      <c r="G374" s="1"/>
    </row>
    <row r="375" spans="1:7" x14ac:dyDescent="0.15">
      <c r="A375" s="4"/>
      <c r="B375" s="4"/>
      <c r="C375" s="1"/>
      <c r="D375" s="1"/>
      <c r="E375" s="1"/>
      <c r="F375" s="1"/>
      <c r="G375" s="1"/>
    </row>
    <row r="376" spans="1:7" x14ac:dyDescent="0.15">
      <c r="A376" s="4"/>
      <c r="B376" s="4"/>
      <c r="C376" s="1"/>
      <c r="D376" s="1"/>
      <c r="E376" s="1"/>
      <c r="F376" s="1"/>
      <c r="G376" s="1"/>
    </row>
    <row r="377" spans="1:7" x14ac:dyDescent="0.15">
      <c r="A377" s="4"/>
      <c r="B377" s="4"/>
      <c r="C377" s="1"/>
      <c r="D377" s="1"/>
      <c r="E377" s="1"/>
      <c r="F377" s="1"/>
      <c r="G377" s="1"/>
    </row>
    <row r="378" spans="1:7" x14ac:dyDescent="0.15">
      <c r="A378" s="4"/>
      <c r="B378" s="4"/>
      <c r="C378" s="1"/>
      <c r="D378" s="1"/>
      <c r="E378" s="1"/>
      <c r="F378" s="1"/>
      <c r="G378" s="1"/>
    </row>
    <row r="379" spans="1:7" x14ac:dyDescent="0.15">
      <c r="A379" s="4"/>
      <c r="B379" s="4"/>
      <c r="C379" s="1"/>
      <c r="D379" s="1"/>
      <c r="E379" s="1"/>
      <c r="F379" s="1"/>
      <c r="G379" s="1"/>
    </row>
    <row r="380" spans="1:7" x14ac:dyDescent="0.15">
      <c r="A380" s="4"/>
      <c r="B380" s="4"/>
      <c r="C380" s="1"/>
      <c r="D380" s="1"/>
      <c r="E380" s="1"/>
      <c r="F380" s="1"/>
      <c r="G380" s="1"/>
    </row>
    <row r="381" spans="1:7" x14ac:dyDescent="0.15">
      <c r="A381" s="4"/>
      <c r="B381" s="4"/>
      <c r="C381" s="1"/>
      <c r="D381" s="1"/>
      <c r="E381" s="1"/>
      <c r="F381" s="1"/>
      <c r="G381" s="1"/>
    </row>
    <row r="382" spans="1:7" x14ac:dyDescent="0.15">
      <c r="A382" s="4"/>
      <c r="B382" s="4"/>
      <c r="C382" s="1"/>
      <c r="D382" s="1"/>
      <c r="E382" s="1"/>
      <c r="F382" s="1"/>
      <c r="G382" s="1"/>
    </row>
    <row r="383" spans="1:7" x14ac:dyDescent="0.15">
      <c r="A383" s="4"/>
      <c r="B383" s="4"/>
      <c r="C383" s="1"/>
      <c r="D383" s="1"/>
      <c r="E383" s="1"/>
      <c r="F383" s="1"/>
      <c r="G383" s="1"/>
    </row>
    <row r="384" spans="1:7" x14ac:dyDescent="0.15">
      <c r="A384" s="4"/>
      <c r="B384" s="4"/>
      <c r="C384" s="1"/>
      <c r="D384" s="1"/>
      <c r="E384" s="1"/>
      <c r="F384" s="1"/>
      <c r="G384" s="1"/>
    </row>
    <row r="385" spans="1:7" x14ac:dyDescent="0.15">
      <c r="A385" s="4"/>
      <c r="B385" s="4"/>
      <c r="C385" s="1"/>
      <c r="D385" s="1"/>
      <c r="E385" s="1"/>
      <c r="F385" s="1"/>
      <c r="G385" s="1"/>
    </row>
    <row r="386" spans="1:7" x14ac:dyDescent="0.15">
      <c r="A386" s="4"/>
      <c r="B386" s="4"/>
      <c r="C386" s="1"/>
      <c r="D386" s="1"/>
      <c r="E386" s="1"/>
      <c r="F386" s="1"/>
      <c r="G386" s="1"/>
    </row>
    <row r="387" spans="1:7" x14ac:dyDescent="0.15">
      <c r="A387" s="4"/>
      <c r="B387" s="4"/>
      <c r="C387" s="1"/>
      <c r="D387" s="1"/>
      <c r="E387" s="1"/>
      <c r="F387" s="1"/>
      <c r="G387" s="1"/>
    </row>
    <row r="388" spans="1:7" x14ac:dyDescent="0.15">
      <c r="A388" s="4"/>
      <c r="B388" s="4"/>
      <c r="C388" s="1"/>
      <c r="D388" s="1"/>
      <c r="E388" s="1"/>
      <c r="F388" s="1"/>
      <c r="G388" s="1"/>
    </row>
    <row r="389" spans="1:7" x14ac:dyDescent="0.15">
      <c r="A389" s="4"/>
      <c r="B389" s="4"/>
      <c r="C389" s="1"/>
      <c r="D389" s="1"/>
      <c r="E389" s="1"/>
      <c r="F389" s="1"/>
      <c r="G389" s="1"/>
    </row>
    <row r="390" spans="1:7" x14ac:dyDescent="0.15">
      <c r="A390" s="4"/>
      <c r="B390" s="4"/>
      <c r="C390" s="1"/>
      <c r="D390" s="1"/>
      <c r="E390" s="1"/>
      <c r="F390" s="1"/>
      <c r="G390" s="1"/>
    </row>
    <row r="391" spans="1:7" x14ac:dyDescent="0.15">
      <c r="A391" s="4"/>
      <c r="B391" s="4"/>
      <c r="C391" s="1"/>
      <c r="D391" s="1"/>
      <c r="E391" s="1"/>
      <c r="F391" s="1"/>
      <c r="G391" s="1"/>
    </row>
    <row r="392" spans="1:7" x14ac:dyDescent="0.15">
      <c r="A392" s="4"/>
      <c r="B392" s="4"/>
      <c r="C392" s="1"/>
      <c r="D392" s="1"/>
      <c r="E392" s="1"/>
      <c r="F392" s="1"/>
      <c r="G392" s="1"/>
    </row>
    <row r="393" spans="1:7" x14ac:dyDescent="0.15">
      <c r="A393" s="4"/>
      <c r="B393" s="4"/>
      <c r="C393" s="1"/>
      <c r="D393" s="1"/>
      <c r="E393" s="1"/>
      <c r="F393" s="1"/>
      <c r="G393" s="1"/>
    </row>
    <row r="394" spans="1:7" x14ac:dyDescent="0.15">
      <c r="A394" s="4"/>
      <c r="B394" s="4"/>
      <c r="C394" s="1"/>
      <c r="D394" s="1"/>
      <c r="E394" s="1"/>
      <c r="F394" s="1"/>
      <c r="G394" s="1"/>
    </row>
    <row r="395" spans="1:7" x14ac:dyDescent="0.15">
      <c r="A395" s="4"/>
      <c r="B395" s="4"/>
      <c r="C395" s="1"/>
      <c r="D395" s="1"/>
      <c r="E395" s="1"/>
      <c r="F395" s="1"/>
      <c r="G395" s="1"/>
    </row>
    <row r="396" spans="1:7" x14ac:dyDescent="0.15">
      <c r="A396" s="4"/>
      <c r="B396" s="4"/>
      <c r="C396" s="1"/>
      <c r="D396" s="1"/>
      <c r="E396" s="1"/>
      <c r="F396" s="1"/>
      <c r="G396" s="1"/>
    </row>
    <row r="397" spans="1:7" x14ac:dyDescent="0.15">
      <c r="A397" s="4"/>
      <c r="B397" s="4"/>
      <c r="C397" s="1"/>
      <c r="D397" s="1"/>
      <c r="E397" s="1"/>
      <c r="F397" s="1"/>
      <c r="G397" s="1"/>
    </row>
    <row r="398" spans="1:7" x14ac:dyDescent="0.15">
      <c r="A398" s="4"/>
      <c r="B398" s="4"/>
      <c r="C398" s="1"/>
      <c r="D398" s="1"/>
      <c r="E398" s="1"/>
      <c r="F398" s="1"/>
      <c r="G398" s="1"/>
    </row>
    <row r="399" spans="1:7" x14ac:dyDescent="0.15">
      <c r="A399" s="4"/>
      <c r="B399" s="4"/>
      <c r="C399" s="1"/>
      <c r="D399" s="1"/>
      <c r="E399" s="1"/>
      <c r="F399" s="1"/>
      <c r="G399" s="1"/>
    </row>
    <row r="400" spans="1:7" x14ac:dyDescent="0.15">
      <c r="A400" s="4"/>
      <c r="B400" s="4"/>
      <c r="C400" s="1"/>
      <c r="D400" s="1"/>
      <c r="E400" s="1"/>
      <c r="F400" s="1"/>
      <c r="G400" s="1"/>
    </row>
    <row r="401" spans="1:7" x14ac:dyDescent="0.15">
      <c r="A401" s="4"/>
      <c r="B401" s="4"/>
      <c r="C401" s="1"/>
      <c r="D401" s="1"/>
      <c r="E401" s="1"/>
      <c r="F401" s="1"/>
      <c r="G401" s="1"/>
    </row>
    <row r="402" spans="1:7" x14ac:dyDescent="0.15">
      <c r="A402" s="4"/>
      <c r="B402" s="4"/>
      <c r="C402" s="1"/>
      <c r="D402" s="1"/>
      <c r="E402" s="1"/>
      <c r="F402" s="1"/>
      <c r="G402" s="1"/>
    </row>
    <row r="403" spans="1:7" x14ac:dyDescent="0.15">
      <c r="A403" s="4"/>
      <c r="B403" s="4"/>
      <c r="C403" s="1"/>
      <c r="D403" s="1"/>
      <c r="E403" s="1"/>
      <c r="F403" s="1"/>
      <c r="G403" s="1"/>
    </row>
    <row r="404" spans="1:7" x14ac:dyDescent="0.15">
      <c r="A404" s="4"/>
      <c r="B404" s="4"/>
      <c r="C404" s="1"/>
      <c r="D404" s="1"/>
      <c r="E404" s="1"/>
      <c r="F404" s="1"/>
      <c r="G404" s="1"/>
    </row>
    <row r="405" spans="1:7" x14ac:dyDescent="0.15">
      <c r="A405" s="4"/>
      <c r="B405" s="4"/>
      <c r="C405" s="1"/>
      <c r="D405" s="1"/>
      <c r="E405" s="1"/>
      <c r="F405" s="1"/>
      <c r="G405" s="1"/>
    </row>
    <row r="406" spans="1:7" x14ac:dyDescent="0.15">
      <c r="A406" s="4"/>
      <c r="B406" s="4"/>
      <c r="C406" s="1"/>
      <c r="D406" s="1"/>
      <c r="E406" s="1"/>
      <c r="F406" s="1"/>
      <c r="G406" s="1"/>
    </row>
    <row r="407" spans="1:7" x14ac:dyDescent="0.15">
      <c r="A407" s="4"/>
      <c r="B407" s="4"/>
      <c r="C407" s="1"/>
      <c r="D407" s="1"/>
      <c r="E407" s="1"/>
      <c r="F407" s="1"/>
      <c r="G407" s="1"/>
    </row>
    <row r="408" spans="1:7" x14ac:dyDescent="0.15">
      <c r="A408" s="4"/>
      <c r="B408" s="4"/>
      <c r="C408" s="1"/>
      <c r="D408" s="1"/>
      <c r="E408" s="1"/>
      <c r="F408" s="1"/>
      <c r="G408" s="1"/>
    </row>
    <row r="409" spans="1:7" x14ac:dyDescent="0.15">
      <c r="A409" s="4"/>
      <c r="B409" s="4"/>
      <c r="C409" s="1"/>
      <c r="D409" s="1"/>
      <c r="E409" s="1"/>
      <c r="F409" s="1"/>
      <c r="G409" s="1"/>
    </row>
    <row r="410" spans="1:7" x14ac:dyDescent="0.15">
      <c r="A410" s="4"/>
      <c r="B410" s="4"/>
      <c r="C410" s="1"/>
      <c r="D410" s="1"/>
      <c r="E410" s="1"/>
      <c r="F410" s="1"/>
      <c r="G410" s="1"/>
    </row>
    <row r="411" spans="1:7" x14ac:dyDescent="0.15">
      <c r="A411" s="4"/>
      <c r="B411" s="4"/>
      <c r="C411" s="1"/>
      <c r="D411" s="1"/>
      <c r="E411" s="1"/>
      <c r="F411" s="1"/>
      <c r="G411" s="1"/>
    </row>
    <row r="412" spans="1:7" x14ac:dyDescent="0.15">
      <c r="A412" s="4"/>
      <c r="B412" s="4"/>
      <c r="C412" s="1"/>
      <c r="D412" s="1"/>
      <c r="E412" s="1"/>
      <c r="F412" s="1"/>
      <c r="G412" s="1"/>
    </row>
    <row r="413" spans="1:7" x14ac:dyDescent="0.15">
      <c r="A413" s="4"/>
      <c r="B413" s="4"/>
      <c r="C413" s="1"/>
      <c r="D413" s="1"/>
      <c r="E413" s="1"/>
      <c r="F413" s="1"/>
      <c r="G413" s="1"/>
    </row>
    <row r="414" spans="1:7" x14ac:dyDescent="0.15">
      <c r="A414" s="4"/>
      <c r="B414" s="4"/>
      <c r="C414" s="1"/>
      <c r="D414" s="1"/>
      <c r="E414" s="1"/>
      <c r="F414" s="1"/>
      <c r="G414" s="1"/>
    </row>
    <row r="415" spans="1:7" x14ac:dyDescent="0.15">
      <c r="A415" s="4"/>
      <c r="B415" s="4"/>
      <c r="C415" s="1"/>
      <c r="D415" s="1"/>
      <c r="E415" s="1"/>
      <c r="F415" s="1"/>
      <c r="G415" s="1"/>
    </row>
    <row r="416" spans="1:7" x14ac:dyDescent="0.15">
      <c r="A416" s="4"/>
      <c r="B416" s="4"/>
      <c r="C416" s="1"/>
      <c r="D416" s="1"/>
      <c r="E416" s="1"/>
      <c r="F416" s="1"/>
      <c r="G416" s="1"/>
    </row>
    <row r="417" spans="1:7" x14ac:dyDescent="0.15">
      <c r="A417" s="4"/>
      <c r="B417" s="4"/>
      <c r="C417" s="1"/>
      <c r="D417" s="1"/>
      <c r="E417" s="1"/>
      <c r="F417" s="1"/>
      <c r="G417" s="1"/>
    </row>
    <row r="418" spans="1:7" x14ac:dyDescent="0.15">
      <c r="A418" s="4"/>
      <c r="B418" s="4"/>
      <c r="C418" s="1"/>
      <c r="D418" s="1"/>
      <c r="E418" s="1"/>
      <c r="F418" s="1"/>
      <c r="G418" s="1"/>
    </row>
    <row r="419" spans="1:7" x14ac:dyDescent="0.15">
      <c r="A419" s="4"/>
      <c r="B419" s="4"/>
      <c r="C419" s="1"/>
      <c r="D419" s="1"/>
      <c r="E419" s="1"/>
      <c r="F419" s="1"/>
      <c r="G419" s="1"/>
    </row>
    <row r="420" spans="1:7" x14ac:dyDescent="0.15">
      <c r="A420" s="4"/>
      <c r="B420" s="4"/>
      <c r="C420" s="1"/>
      <c r="D420" s="1"/>
      <c r="E420" s="1"/>
      <c r="F420" s="1"/>
      <c r="G420" s="1"/>
    </row>
    <row r="421" spans="1:7" x14ac:dyDescent="0.15">
      <c r="A421" s="4"/>
      <c r="B421" s="4"/>
      <c r="C421" s="1"/>
      <c r="D421" s="1"/>
      <c r="E421" s="1"/>
      <c r="F421" s="1"/>
      <c r="G421" s="1"/>
    </row>
    <row r="422" spans="1:7" x14ac:dyDescent="0.15">
      <c r="A422" s="4"/>
      <c r="B422" s="4"/>
      <c r="C422" s="1"/>
      <c r="D422" s="1"/>
      <c r="E422" s="1"/>
      <c r="F422" s="1"/>
      <c r="G422" s="1"/>
    </row>
    <row r="423" spans="1:7" x14ac:dyDescent="0.15">
      <c r="A423" s="4"/>
      <c r="B423" s="4"/>
      <c r="C423" s="1"/>
      <c r="D423" s="1"/>
      <c r="E423" s="1"/>
      <c r="F423" s="1"/>
      <c r="G423" s="1"/>
    </row>
    <row r="424" spans="1:7" x14ac:dyDescent="0.15">
      <c r="A424" s="4"/>
      <c r="B424" s="4"/>
      <c r="C424" s="1"/>
      <c r="D424" s="1"/>
      <c r="E424" s="1"/>
      <c r="F424" s="1"/>
      <c r="G424" s="1"/>
    </row>
    <row r="425" spans="1:7" x14ac:dyDescent="0.15">
      <c r="A425" s="4"/>
      <c r="B425" s="4"/>
      <c r="C425" s="1"/>
      <c r="D425" s="1"/>
      <c r="E425" s="1"/>
      <c r="F425" s="1"/>
      <c r="G425" s="1"/>
    </row>
    <row r="426" spans="1:7" x14ac:dyDescent="0.15">
      <c r="A426" s="4"/>
      <c r="B426" s="4"/>
      <c r="C426" s="1"/>
      <c r="D426" s="1"/>
      <c r="E426" s="1"/>
      <c r="F426" s="1"/>
      <c r="G426" s="1"/>
    </row>
    <row r="427" spans="1:7" x14ac:dyDescent="0.15">
      <c r="A427" s="4"/>
      <c r="B427" s="4"/>
      <c r="C427" s="1"/>
      <c r="D427" s="1"/>
      <c r="E427" s="1"/>
      <c r="F427" s="1"/>
      <c r="G427" s="1"/>
    </row>
    <row r="428" spans="1:7" x14ac:dyDescent="0.15">
      <c r="A428" s="4"/>
      <c r="B428" s="4"/>
      <c r="C428" s="1"/>
      <c r="D428" s="1"/>
      <c r="E428" s="1"/>
      <c r="F428" s="1"/>
      <c r="G428" s="1"/>
    </row>
    <row r="429" spans="1:7" x14ac:dyDescent="0.15">
      <c r="A429" s="4"/>
      <c r="B429" s="4"/>
      <c r="C429" s="1"/>
      <c r="D429" s="1"/>
      <c r="E429" s="1"/>
      <c r="F429" s="1"/>
      <c r="G429" s="1"/>
    </row>
    <row r="430" spans="1:7" x14ac:dyDescent="0.15">
      <c r="A430" s="4"/>
      <c r="B430" s="4"/>
      <c r="C430" s="1"/>
      <c r="D430" s="1"/>
      <c r="E430" s="1"/>
      <c r="F430" s="1"/>
      <c r="G430" s="1"/>
    </row>
    <row r="431" spans="1:7" x14ac:dyDescent="0.15">
      <c r="A431" s="4"/>
      <c r="B431" s="4"/>
      <c r="C431" s="1"/>
      <c r="D431" s="1"/>
      <c r="E431" s="1"/>
      <c r="F431" s="1"/>
      <c r="G431" s="1"/>
    </row>
    <row r="432" spans="1:7" x14ac:dyDescent="0.15">
      <c r="A432" s="4"/>
      <c r="B432" s="4"/>
      <c r="C432" s="1"/>
      <c r="D432" s="1"/>
      <c r="E432" s="1"/>
      <c r="F432" s="1"/>
      <c r="G432" s="1"/>
    </row>
    <row r="433" spans="1:7" x14ac:dyDescent="0.15">
      <c r="A433" s="4"/>
      <c r="B433" s="4"/>
      <c r="C433" s="1"/>
      <c r="D433" s="1"/>
      <c r="E433" s="1"/>
      <c r="F433" s="1"/>
      <c r="G433" s="1"/>
    </row>
    <row r="434" spans="1:7" x14ac:dyDescent="0.15">
      <c r="A434" s="4"/>
      <c r="B434" s="4"/>
      <c r="C434" s="1"/>
      <c r="D434" s="1"/>
      <c r="E434" s="1"/>
      <c r="F434" s="1"/>
      <c r="G434" s="1"/>
    </row>
    <row r="435" spans="1:7" x14ac:dyDescent="0.15">
      <c r="A435" s="4"/>
      <c r="B435" s="4"/>
      <c r="C435" s="1"/>
      <c r="D435" s="1"/>
      <c r="E435" s="1"/>
      <c r="F435" s="1"/>
      <c r="G435" s="1"/>
    </row>
    <row r="436" spans="1:7" x14ac:dyDescent="0.15">
      <c r="A436" s="4"/>
      <c r="B436" s="4"/>
      <c r="C436" s="1"/>
      <c r="D436" s="1"/>
      <c r="E436" s="1"/>
      <c r="F436" s="1"/>
      <c r="G436" s="1"/>
    </row>
    <row r="437" spans="1:7" x14ac:dyDescent="0.15">
      <c r="A437" s="4"/>
      <c r="B437" s="4"/>
      <c r="C437" s="1"/>
      <c r="D437" s="1"/>
      <c r="E437" s="1"/>
      <c r="F437" s="1"/>
      <c r="G437" s="1"/>
    </row>
    <row r="438" spans="1:7" x14ac:dyDescent="0.15">
      <c r="A438" s="4"/>
      <c r="B438" s="4"/>
      <c r="C438" s="1"/>
      <c r="D438" s="1"/>
      <c r="E438" s="1"/>
      <c r="F438" s="1"/>
      <c r="G438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F53"/>
  <sheetViews>
    <sheetView topLeftCell="A46" workbookViewId="0">
      <selection activeCell="H51" sqref="H51"/>
    </sheetView>
  </sheetViews>
  <sheetFormatPr defaultRowHeight="13.5" x14ac:dyDescent="0.15"/>
  <cols>
    <col min="1" max="1" width="15.125" style="6" customWidth="1"/>
    <col min="2" max="2" width="18.625" customWidth="1"/>
    <col min="3" max="3" width="13.375" style="21" bestFit="1" customWidth="1"/>
    <col min="4" max="4" width="15.25" style="21" bestFit="1" customWidth="1"/>
    <col min="5" max="5" width="13.125" style="21" bestFit="1" customWidth="1"/>
  </cols>
  <sheetData>
    <row r="1" spans="1:6" ht="20.25" customHeight="1" x14ac:dyDescent="0.15">
      <c r="A1" s="9" t="s">
        <v>100</v>
      </c>
      <c r="B1" s="1" t="s">
        <v>158</v>
      </c>
      <c r="C1" s="15" t="s">
        <v>102</v>
      </c>
      <c r="D1" s="15" t="s">
        <v>3</v>
      </c>
      <c r="E1" s="15" t="s">
        <v>104</v>
      </c>
      <c r="F1" s="1" t="s">
        <v>105</v>
      </c>
    </row>
    <row r="2" spans="1:6" ht="20.25" customHeight="1" x14ac:dyDescent="0.15">
      <c r="A2" s="9">
        <v>45658</v>
      </c>
      <c r="B2" s="1" t="s">
        <v>159</v>
      </c>
      <c r="C2" s="15">
        <v>120213.94599999956</v>
      </c>
      <c r="D2" s="15">
        <v>25724.940000000024</v>
      </c>
      <c r="E2" s="15">
        <v>100294.46000000009</v>
      </c>
      <c r="F2" s="1">
        <v>3757</v>
      </c>
    </row>
    <row r="3" spans="1:6" ht="20.25" customHeight="1" x14ac:dyDescent="0.15">
      <c r="A3" s="9">
        <v>45659</v>
      </c>
      <c r="B3" s="1" t="s">
        <v>160</v>
      </c>
      <c r="C3" s="15">
        <v>144284.73899999997</v>
      </c>
      <c r="D3" s="15">
        <v>44069.95</v>
      </c>
      <c r="E3" s="15">
        <v>124745.59000000008</v>
      </c>
      <c r="F3" s="1">
        <v>5543</v>
      </c>
    </row>
    <row r="4" spans="1:6" ht="20.25" customHeight="1" x14ac:dyDescent="0.15">
      <c r="A4" s="9">
        <v>45660</v>
      </c>
      <c r="B4" s="1" t="s">
        <v>161</v>
      </c>
      <c r="C4" s="15">
        <v>54241.24</v>
      </c>
      <c r="D4" s="15">
        <v>16240.510000000042</v>
      </c>
      <c r="E4" s="15">
        <v>47572.150000000031</v>
      </c>
      <c r="F4" s="1">
        <v>2186</v>
      </c>
    </row>
    <row r="5" spans="1:6" ht="20.25" customHeight="1" x14ac:dyDescent="0.15">
      <c r="A5" s="9">
        <v>45661</v>
      </c>
      <c r="B5" s="1" t="s">
        <v>162</v>
      </c>
      <c r="C5" s="15">
        <v>144105.49999999965</v>
      </c>
      <c r="D5" s="15">
        <v>44438.669999999955</v>
      </c>
      <c r="E5" s="15">
        <v>126753.83999999987</v>
      </c>
      <c r="F5" s="1">
        <v>5742</v>
      </c>
    </row>
    <row r="6" spans="1:6" ht="21.75" customHeight="1" x14ac:dyDescent="0.15">
      <c r="A6" s="9">
        <v>45901</v>
      </c>
      <c r="B6" s="1" t="s">
        <v>159</v>
      </c>
      <c r="C6" s="15">
        <v>145618.50499999963</v>
      </c>
      <c r="D6" s="15">
        <v>36711.489999999991</v>
      </c>
      <c r="E6" s="15">
        <v>116024.98000000003</v>
      </c>
      <c r="F6" s="1">
        <v>5197</v>
      </c>
    </row>
    <row r="7" spans="1:6" ht="21.75" customHeight="1" x14ac:dyDescent="0.15">
      <c r="A7" s="9">
        <v>45901</v>
      </c>
      <c r="B7" s="1" t="s">
        <v>160</v>
      </c>
      <c r="C7" s="15">
        <v>142199.90199999968</v>
      </c>
      <c r="D7" s="15">
        <v>49346.029999999977</v>
      </c>
      <c r="E7" s="15">
        <v>115294.21</v>
      </c>
      <c r="F7" s="1">
        <v>5924</v>
      </c>
    </row>
    <row r="8" spans="1:6" ht="21.75" customHeight="1" x14ac:dyDescent="0.15">
      <c r="A8" s="9">
        <v>45901</v>
      </c>
      <c r="B8" s="1" t="s">
        <v>161</v>
      </c>
      <c r="C8" s="15">
        <v>46497.199999999953</v>
      </c>
      <c r="D8" s="15">
        <v>15923.649999999991</v>
      </c>
      <c r="E8" s="15">
        <v>37870.589999999967</v>
      </c>
      <c r="F8" s="1">
        <v>2009</v>
      </c>
    </row>
    <row r="9" spans="1:6" ht="21.75" customHeight="1" x14ac:dyDescent="0.15">
      <c r="A9" s="9">
        <v>45901</v>
      </c>
      <c r="B9" s="1" t="s">
        <v>162</v>
      </c>
      <c r="C9" s="15">
        <v>113564.96000000006</v>
      </c>
      <c r="D9" s="15">
        <v>39255.289999999943</v>
      </c>
      <c r="E9" s="15">
        <v>93101.410000000047</v>
      </c>
      <c r="F9" s="1">
        <v>4711</v>
      </c>
    </row>
    <row r="10" spans="1:6" x14ac:dyDescent="0.15">
      <c r="A10" s="9">
        <v>45871</v>
      </c>
      <c r="B10" s="1" t="s">
        <v>159</v>
      </c>
      <c r="C10" s="15">
        <v>152879.68699999916</v>
      </c>
      <c r="D10" s="15">
        <v>38264.369999999908</v>
      </c>
      <c r="E10" s="15">
        <v>128630.50000000022</v>
      </c>
      <c r="F10" s="1">
        <v>5362</v>
      </c>
    </row>
    <row r="11" spans="1:6" x14ac:dyDescent="0.15">
      <c r="A11" s="9">
        <v>45872</v>
      </c>
      <c r="B11" s="1" t="s">
        <v>160</v>
      </c>
      <c r="C11" s="15">
        <v>169036.11999999965</v>
      </c>
      <c r="D11" s="15">
        <v>58538.309999999794</v>
      </c>
      <c r="E11" s="15">
        <v>144554.87999999968</v>
      </c>
      <c r="F11" s="1">
        <v>6834</v>
      </c>
    </row>
    <row r="12" spans="1:6" x14ac:dyDescent="0.15">
      <c r="A12" s="9">
        <v>45873</v>
      </c>
      <c r="B12" s="1" t="s">
        <v>161</v>
      </c>
      <c r="C12" s="15">
        <v>60594.68000000008</v>
      </c>
      <c r="D12" s="15">
        <v>20357.979999999981</v>
      </c>
      <c r="E12" s="15">
        <v>52378.310000000034</v>
      </c>
      <c r="F12" s="1">
        <v>2529</v>
      </c>
    </row>
    <row r="13" spans="1:6" x14ac:dyDescent="0.15">
      <c r="A13" s="9">
        <v>45874</v>
      </c>
      <c r="B13" s="1" t="s">
        <v>162</v>
      </c>
      <c r="C13" s="15">
        <v>139925.25999999983</v>
      </c>
      <c r="D13" s="15">
        <v>48192.829999999987</v>
      </c>
      <c r="E13" s="15">
        <v>122444.86</v>
      </c>
      <c r="F13" s="1">
        <v>5709</v>
      </c>
    </row>
    <row r="14" spans="1:6" x14ac:dyDescent="0.15">
      <c r="A14" s="9">
        <v>45694</v>
      </c>
      <c r="B14" s="1" t="s">
        <v>159</v>
      </c>
      <c r="C14" s="15">
        <v>130899.43399999969</v>
      </c>
      <c r="D14" s="15">
        <v>28051.24</v>
      </c>
      <c r="E14" s="15">
        <v>108144.12999999987</v>
      </c>
      <c r="F14" s="1">
        <v>4144</v>
      </c>
    </row>
    <row r="15" spans="1:6" x14ac:dyDescent="0.15">
      <c r="A15" s="9">
        <v>45694</v>
      </c>
      <c r="B15" s="1" t="s">
        <v>160</v>
      </c>
      <c r="C15" s="15">
        <v>138713.27200000023</v>
      </c>
      <c r="D15" s="15">
        <v>42210.570000000291</v>
      </c>
      <c r="E15" s="15">
        <v>118591.51999999974</v>
      </c>
      <c r="F15" s="1">
        <v>5325</v>
      </c>
    </row>
    <row r="16" spans="1:6" x14ac:dyDescent="0.15">
      <c r="A16" s="9">
        <v>45694</v>
      </c>
      <c r="B16" s="1" t="s">
        <v>161</v>
      </c>
      <c r="C16" s="15">
        <v>53889.840000000055</v>
      </c>
      <c r="D16" s="15">
        <v>15998.460000000019</v>
      </c>
      <c r="E16" s="15">
        <v>46512.210000000123</v>
      </c>
      <c r="F16" s="1">
        <v>2210</v>
      </c>
    </row>
    <row r="17" spans="1:6" x14ac:dyDescent="0.15">
      <c r="A17" s="9">
        <v>45694</v>
      </c>
      <c r="B17" s="1" t="s">
        <v>162</v>
      </c>
      <c r="C17" s="15">
        <v>125399.01999999999</v>
      </c>
      <c r="D17" s="15">
        <v>38283.890000000101</v>
      </c>
      <c r="E17" s="15">
        <v>109886.24000000009</v>
      </c>
      <c r="F17" s="1">
        <v>4788</v>
      </c>
    </row>
    <row r="18" spans="1:6" x14ac:dyDescent="0.15">
      <c r="A18" s="9">
        <v>45722</v>
      </c>
      <c r="B18" s="1" t="s">
        <v>159</v>
      </c>
      <c r="C18" s="15">
        <v>141804.27099999969</v>
      </c>
      <c r="D18" s="15">
        <v>30256.539999999899</v>
      </c>
      <c r="E18" s="15">
        <v>113696.42999999998</v>
      </c>
      <c r="F18" s="1">
        <v>4826</v>
      </c>
    </row>
    <row r="19" spans="1:6" x14ac:dyDescent="0.15">
      <c r="A19" s="9">
        <v>45722</v>
      </c>
      <c r="B19" s="1" t="s">
        <v>160</v>
      </c>
      <c r="C19" s="15">
        <v>156933.24800000002</v>
      </c>
      <c r="D19" s="15">
        <v>47367.189999999908</v>
      </c>
      <c r="E19" s="15">
        <v>130058.93999999983</v>
      </c>
      <c r="F19" s="1">
        <v>6119</v>
      </c>
    </row>
    <row r="20" spans="1:6" x14ac:dyDescent="0.15">
      <c r="A20" s="9">
        <v>45722</v>
      </c>
      <c r="B20" s="1" t="s">
        <v>161</v>
      </c>
      <c r="C20" s="15">
        <v>55724.920000000078</v>
      </c>
      <c r="D20" s="15">
        <v>16438.139999999959</v>
      </c>
      <c r="E20" s="15">
        <v>47466.680000000029</v>
      </c>
      <c r="F20" s="1">
        <v>2367</v>
      </c>
    </row>
    <row r="21" spans="1:6" x14ac:dyDescent="0.15">
      <c r="A21" s="9">
        <v>45722</v>
      </c>
      <c r="B21" s="1" t="s">
        <v>162</v>
      </c>
      <c r="C21" s="15">
        <v>140601.58000000002</v>
      </c>
      <c r="D21" s="15">
        <v>42401.440000000053</v>
      </c>
      <c r="E21" s="15">
        <v>118711.53999999998</v>
      </c>
      <c r="F21" s="1">
        <v>5577</v>
      </c>
    </row>
    <row r="22" spans="1:6" x14ac:dyDescent="0.15">
      <c r="A22" s="9">
        <v>45753</v>
      </c>
      <c r="B22" s="1" t="s">
        <v>159</v>
      </c>
      <c r="C22" s="15">
        <v>104547.96199999975</v>
      </c>
      <c r="D22" s="15">
        <v>22245.890000000076</v>
      </c>
      <c r="E22" s="15">
        <v>84023.609999999841</v>
      </c>
      <c r="F22" s="1">
        <v>3619</v>
      </c>
    </row>
    <row r="23" spans="1:6" x14ac:dyDescent="0.15">
      <c r="A23" s="9">
        <v>45753</v>
      </c>
      <c r="B23" s="1" t="s">
        <v>160</v>
      </c>
      <c r="C23" s="15">
        <v>148225.34999999928</v>
      </c>
      <c r="D23" s="15">
        <v>43418.879999999874</v>
      </c>
      <c r="E23" s="15">
        <v>122758.71000000018</v>
      </c>
      <c r="F23" s="1">
        <v>5977</v>
      </c>
    </row>
    <row r="24" spans="1:6" x14ac:dyDescent="0.15">
      <c r="A24" s="9">
        <v>45753</v>
      </c>
      <c r="B24" s="1" t="s">
        <v>161</v>
      </c>
      <c r="C24" s="15">
        <v>54411.500000000022</v>
      </c>
      <c r="D24" s="15">
        <v>15483.160000000002</v>
      </c>
      <c r="E24" s="15">
        <v>46438.960000000072</v>
      </c>
      <c r="F24" s="1">
        <v>2334</v>
      </c>
    </row>
    <row r="25" spans="1:6" x14ac:dyDescent="0.15">
      <c r="A25" s="9">
        <v>45753</v>
      </c>
      <c r="B25" s="1" t="s">
        <v>162</v>
      </c>
      <c r="C25" s="15">
        <v>134083.96000000034</v>
      </c>
      <c r="D25" s="15">
        <v>38889.230000000025</v>
      </c>
      <c r="E25" s="15">
        <v>113148.28000000004</v>
      </c>
      <c r="F25" s="1">
        <v>5454</v>
      </c>
    </row>
    <row r="26" spans="1:6" x14ac:dyDescent="0.15">
      <c r="A26" s="9">
        <v>45783</v>
      </c>
      <c r="B26" s="1" t="s">
        <v>159</v>
      </c>
      <c r="C26" s="15">
        <v>110586.98200000005</v>
      </c>
      <c r="D26" s="15">
        <v>23536.710000000003</v>
      </c>
      <c r="E26" s="15">
        <v>88398.86999999985</v>
      </c>
      <c r="F26" s="1">
        <v>3921</v>
      </c>
    </row>
    <row r="27" spans="1:6" x14ac:dyDescent="0.15">
      <c r="A27" s="9">
        <v>45784</v>
      </c>
      <c r="B27" s="1" t="s">
        <v>160</v>
      </c>
      <c r="C27" s="15">
        <v>165003.35900000029</v>
      </c>
      <c r="D27" s="15">
        <v>51368.109999999877</v>
      </c>
      <c r="E27" s="15">
        <v>138533.13999999987</v>
      </c>
      <c r="F27" s="1">
        <v>6685</v>
      </c>
    </row>
    <row r="28" spans="1:6" x14ac:dyDescent="0.15">
      <c r="A28" s="9">
        <v>45785</v>
      </c>
      <c r="B28" s="1" t="s">
        <v>161</v>
      </c>
      <c r="C28" s="15">
        <v>56749.460000000028</v>
      </c>
      <c r="D28" s="15">
        <v>17489.209999999985</v>
      </c>
      <c r="E28" s="15">
        <v>48185.260000000053</v>
      </c>
      <c r="F28" s="1">
        <v>2400</v>
      </c>
    </row>
    <row r="29" spans="1:6" x14ac:dyDescent="0.15">
      <c r="A29" s="9">
        <v>45786</v>
      </c>
      <c r="B29" s="1" t="s">
        <v>162</v>
      </c>
      <c r="C29" s="15">
        <v>137256.86000000002</v>
      </c>
      <c r="D29" s="15">
        <v>42224.959999999926</v>
      </c>
      <c r="E29" s="15">
        <v>116142.64999999947</v>
      </c>
      <c r="F29" s="1">
        <v>5569</v>
      </c>
    </row>
    <row r="30" spans="1:6" x14ac:dyDescent="0.15">
      <c r="A30" s="9">
        <v>45817</v>
      </c>
      <c r="B30" s="1" t="s">
        <v>159</v>
      </c>
      <c r="C30" s="15">
        <v>114030.86799999975</v>
      </c>
      <c r="D30" s="15">
        <v>24081.519999999993</v>
      </c>
      <c r="E30" s="15">
        <v>92458.010000000126</v>
      </c>
      <c r="F30" s="1">
        <v>4056</v>
      </c>
    </row>
    <row r="31" spans="1:6" x14ac:dyDescent="0.15">
      <c r="A31" s="9">
        <v>45818</v>
      </c>
      <c r="B31" s="1" t="s">
        <v>160</v>
      </c>
      <c r="C31" s="15">
        <v>158644.23099999933</v>
      </c>
      <c r="D31" s="15">
        <v>51694.65000000006</v>
      </c>
      <c r="E31" s="15">
        <v>136553.14000000004</v>
      </c>
      <c r="F31" s="1">
        <v>6433</v>
      </c>
    </row>
    <row r="32" spans="1:6" x14ac:dyDescent="0.15">
      <c r="A32" s="9">
        <v>45819</v>
      </c>
      <c r="B32" s="1" t="s">
        <v>161</v>
      </c>
      <c r="C32" s="15">
        <v>55061.939999999981</v>
      </c>
      <c r="D32" s="15">
        <v>17546.240000000013</v>
      </c>
      <c r="E32" s="15">
        <v>47841.949999999975</v>
      </c>
      <c r="F32" s="1">
        <v>2295</v>
      </c>
    </row>
    <row r="33" spans="1:6" x14ac:dyDescent="0.15">
      <c r="A33" s="9">
        <v>45820</v>
      </c>
      <c r="B33" s="1" t="s">
        <v>162</v>
      </c>
      <c r="C33" s="15">
        <v>132862.82000000012</v>
      </c>
      <c r="D33" s="15">
        <v>42880.259999999907</v>
      </c>
      <c r="E33" s="15">
        <v>114232.04999999989</v>
      </c>
      <c r="F33" s="1">
        <v>5364</v>
      </c>
    </row>
    <row r="34" spans="1:6" x14ac:dyDescent="0.15">
      <c r="A34" s="9">
        <v>45850</v>
      </c>
      <c r="B34" s="1" t="s">
        <v>159</v>
      </c>
      <c r="C34" s="15">
        <v>154879.25199999931</v>
      </c>
      <c r="D34" s="15">
        <v>33879.160000000105</v>
      </c>
      <c r="E34" s="15">
        <v>131209.27000000022</v>
      </c>
      <c r="F34" s="1">
        <v>5540</v>
      </c>
    </row>
    <row r="35" spans="1:6" x14ac:dyDescent="0.15">
      <c r="A35" s="9">
        <v>45851</v>
      </c>
      <c r="B35" s="1" t="s">
        <v>160</v>
      </c>
      <c r="C35" s="15">
        <v>180126.72599999953</v>
      </c>
      <c r="D35" s="15">
        <v>57428.41</v>
      </c>
      <c r="E35" s="15">
        <v>158934.90000000029</v>
      </c>
      <c r="F35" s="1">
        <v>7109</v>
      </c>
    </row>
    <row r="36" spans="1:6" x14ac:dyDescent="0.15">
      <c r="A36" s="9">
        <v>45852</v>
      </c>
      <c r="B36" s="1" t="s">
        <v>161</v>
      </c>
      <c r="C36" s="15">
        <v>63801.56000000007</v>
      </c>
      <c r="D36" s="15">
        <v>20257.800000000061</v>
      </c>
      <c r="E36" s="15">
        <v>56648.209999999912</v>
      </c>
      <c r="F36" s="1">
        <v>2691</v>
      </c>
    </row>
    <row r="37" spans="1:6" x14ac:dyDescent="0.15">
      <c r="A37" s="9">
        <v>45853</v>
      </c>
      <c r="B37" s="1" t="s">
        <v>162</v>
      </c>
      <c r="C37" s="15">
        <v>148273.12000000002</v>
      </c>
      <c r="D37" s="15">
        <v>47623.190000000031</v>
      </c>
      <c r="E37" s="15">
        <v>131850.23999999993</v>
      </c>
      <c r="F37" s="1">
        <v>5900</v>
      </c>
    </row>
    <row r="38" spans="1:6" x14ac:dyDescent="0.15">
      <c r="A38" s="9">
        <v>45946</v>
      </c>
      <c r="B38" s="1" t="s">
        <v>159</v>
      </c>
      <c r="C38" s="15">
        <v>137042.18099999876</v>
      </c>
      <c r="D38" s="15">
        <v>35525.250000000073</v>
      </c>
      <c r="E38" s="15">
        <v>111246.73999999982</v>
      </c>
      <c r="F38" s="1">
        <v>4940</v>
      </c>
    </row>
    <row r="39" spans="1:6" x14ac:dyDescent="0.15">
      <c r="A39" s="9">
        <v>45947</v>
      </c>
      <c r="B39" s="1" t="s">
        <v>160</v>
      </c>
      <c r="C39" s="15">
        <v>137521.64100000018</v>
      </c>
      <c r="D39" s="15">
        <v>47780.27999999997</v>
      </c>
      <c r="E39" s="15">
        <v>112639.51000000015</v>
      </c>
      <c r="F39" s="1">
        <v>5706</v>
      </c>
    </row>
    <row r="40" spans="1:6" x14ac:dyDescent="0.15">
      <c r="A40" s="9">
        <v>45948</v>
      </c>
      <c r="B40" s="1" t="s">
        <v>161</v>
      </c>
      <c r="C40" s="15">
        <v>44139.899999999987</v>
      </c>
      <c r="D40" s="15">
        <v>14894.859999999984</v>
      </c>
      <c r="E40" s="15">
        <v>36355.979999999967</v>
      </c>
      <c r="F40" s="1">
        <v>1934</v>
      </c>
    </row>
    <row r="41" spans="1:6" x14ac:dyDescent="0.15">
      <c r="A41" s="9">
        <v>45949</v>
      </c>
      <c r="B41" s="1" t="s">
        <v>162</v>
      </c>
      <c r="C41" s="15">
        <v>110423.99999999983</v>
      </c>
      <c r="D41" s="15">
        <v>38161.819999999869</v>
      </c>
      <c r="E41" s="15">
        <v>92025.010000000169</v>
      </c>
      <c r="F41" s="1">
        <v>4627</v>
      </c>
    </row>
    <row r="42" spans="1:6" x14ac:dyDescent="0.15">
      <c r="A42" s="9">
        <v>45981</v>
      </c>
      <c r="B42" s="7" t="s">
        <v>159</v>
      </c>
      <c r="C42" s="14">
        <v>135965.66</v>
      </c>
      <c r="D42" s="14">
        <v>35249.68</v>
      </c>
      <c r="E42" s="14">
        <v>118705.93</v>
      </c>
      <c r="F42" s="7">
        <v>4970</v>
      </c>
    </row>
    <row r="43" spans="1:6" x14ac:dyDescent="0.15">
      <c r="A43" s="9">
        <v>45982</v>
      </c>
      <c r="B43" s="7" t="s">
        <v>160</v>
      </c>
      <c r="C43" s="14">
        <v>128261.47</v>
      </c>
      <c r="D43" s="14">
        <v>43216.3</v>
      </c>
      <c r="E43" s="14">
        <v>112376.85</v>
      </c>
      <c r="F43" s="7">
        <v>5365</v>
      </c>
    </row>
    <row r="44" spans="1:6" x14ac:dyDescent="0.15">
      <c r="A44" s="9">
        <v>45983</v>
      </c>
      <c r="B44" s="7" t="s">
        <v>161</v>
      </c>
      <c r="C44" s="14">
        <v>42835.4</v>
      </c>
      <c r="D44" s="14">
        <v>13769.94</v>
      </c>
      <c r="E44" s="14">
        <v>38148.19</v>
      </c>
      <c r="F44" s="7">
        <v>1903</v>
      </c>
    </row>
    <row r="45" spans="1:6" x14ac:dyDescent="0.15">
      <c r="A45" s="9">
        <v>45984</v>
      </c>
      <c r="B45" s="7" t="s">
        <v>162</v>
      </c>
      <c r="C45" s="14">
        <v>99398.82</v>
      </c>
      <c r="D45" s="14">
        <v>32761.13</v>
      </c>
      <c r="E45" s="14">
        <v>89045.31</v>
      </c>
      <c r="F45" s="7">
        <v>4262</v>
      </c>
    </row>
    <row r="46" spans="1:6" x14ac:dyDescent="0.15">
      <c r="A46" s="9">
        <v>46015</v>
      </c>
      <c r="B46" s="1" t="s">
        <v>159</v>
      </c>
      <c r="C46" s="15">
        <v>156495.56499999922</v>
      </c>
      <c r="D46" s="15">
        <v>41548.01000000006</v>
      </c>
      <c r="E46" s="15">
        <v>132919.74999999997</v>
      </c>
      <c r="F46" s="1">
        <v>5606</v>
      </c>
    </row>
    <row r="47" spans="1:6" x14ac:dyDescent="0.15">
      <c r="A47" s="9">
        <v>46016</v>
      </c>
      <c r="B47" s="1" t="s">
        <v>160</v>
      </c>
      <c r="C47" s="15">
        <v>124703.38900000002</v>
      </c>
      <c r="D47" s="15">
        <v>41768.059999999954</v>
      </c>
      <c r="E47" s="15">
        <v>105883.79999999983</v>
      </c>
      <c r="F47" s="1">
        <v>5358</v>
      </c>
    </row>
    <row r="48" spans="1:6" x14ac:dyDescent="0.15">
      <c r="A48" s="9">
        <v>46017</v>
      </c>
      <c r="B48" s="1" t="s">
        <v>161</v>
      </c>
      <c r="C48" s="15">
        <v>44799.039999999928</v>
      </c>
      <c r="D48" s="15">
        <v>14560.300000000007</v>
      </c>
      <c r="E48" s="15">
        <v>38799.94</v>
      </c>
      <c r="F48" s="1">
        <v>1956</v>
      </c>
    </row>
    <row r="49" spans="1:6" x14ac:dyDescent="0.15">
      <c r="A49" s="9">
        <v>46018</v>
      </c>
      <c r="B49" s="1" t="s">
        <v>162</v>
      </c>
      <c r="C49" s="15">
        <v>100038.0000000001</v>
      </c>
      <c r="D49" s="15">
        <v>32458.149999999991</v>
      </c>
      <c r="E49" s="15">
        <v>86861.199999999852</v>
      </c>
      <c r="F49" s="1">
        <v>4267</v>
      </c>
    </row>
    <row r="50" spans="1:6" x14ac:dyDescent="0.15">
      <c r="A50" s="9">
        <v>46042</v>
      </c>
      <c r="B50" s="1" t="s">
        <v>159</v>
      </c>
      <c r="C50" s="15">
        <v>160938.26999999999</v>
      </c>
      <c r="D50" s="15">
        <v>43542.5</v>
      </c>
      <c r="E50" s="15">
        <v>135051.18</v>
      </c>
      <c r="F50" s="1">
        <v>5690</v>
      </c>
    </row>
    <row r="51" spans="1:6" x14ac:dyDescent="0.15">
      <c r="A51" s="9">
        <v>46043</v>
      </c>
      <c r="B51" s="1" t="s">
        <v>160</v>
      </c>
      <c r="C51" s="25">
        <v>176147.41699999999</v>
      </c>
      <c r="D51" s="25">
        <v>40019.360000000001</v>
      </c>
      <c r="E51" s="25">
        <v>122993.16</v>
      </c>
      <c r="F51" s="1">
        <v>7490</v>
      </c>
    </row>
    <row r="52" spans="1:6" x14ac:dyDescent="0.15">
      <c r="A52" s="9">
        <v>46044</v>
      </c>
      <c r="B52" s="1" t="s">
        <v>161</v>
      </c>
      <c r="C52" s="25">
        <v>79815.808999999994</v>
      </c>
      <c r="D52" s="25">
        <v>17622.43</v>
      </c>
      <c r="E52" s="25">
        <v>52758.62</v>
      </c>
      <c r="F52" s="1">
        <v>3457</v>
      </c>
    </row>
    <row r="53" spans="1:6" x14ac:dyDescent="0.15">
      <c r="A53" s="9">
        <v>46045</v>
      </c>
      <c r="B53" s="1" t="s">
        <v>162</v>
      </c>
      <c r="C53" s="25">
        <v>162845.88800000001</v>
      </c>
      <c r="D53" s="25">
        <v>37150.18</v>
      </c>
      <c r="E53" s="25">
        <v>115578.67</v>
      </c>
      <c r="F53" s="1">
        <v>6811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F117"/>
  <sheetViews>
    <sheetView topLeftCell="A52" workbookViewId="0">
      <selection activeCell="K109" sqref="K109"/>
    </sheetView>
  </sheetViews>
  <sheetFormatPr defaultRowHeight="13.5" x14ac:dyDescent="0.15"/>
  <cols>
    <col min="1" max="1" width="12.5" style="6" customWidth="1"/>
    <col min="2" max="2" width="35.375" customWidth="1"/>
    <col min="3" max="3" width="11.25" bestFit="1" customWidth="1"/>
    <col min="4" max="4" width="13.125" bestFit="1" customWidth="1"/>
    <col min="6" max="6" width="20.25" style="19" customWidth="1"/>
  </cols>
  <sheetData>
    <row r="1" spans="1:6" x14ac:dyDescent="0.15">
      <c r="A1" s="10" t="s">
        <v>101</v>
      </c>
      <c r="B1" s="11" t="s">
        <v>121</v>
      </c>
      <c r="C1" s="1" t="s">
        <v>122</v>
      </c>
      <c r="D1" s="1" t="s">
        <v>146</v>
      </c>
      <c r="E1" s="12" t="s">
        <v>105</v>
      </c>
      <c r="F1" s="16" t="s">
        <v>147</v>
      </c>
    </row>
    <row r="2" spans="1:6" x14ac:dyDescent="0.15">
      <c r="A2" s="8">
        <v>45901</v>
      </c>
      <c r="B2" s="7" t="s">
        <v>145</v>
      </c>
      <c r="C2" s="7" t="s">
        <v>123</v>
      </c>
      <c r="D2" s="1">
        <v>6846.8260000000055</v>
      </c>
      <c r="E2" s="1">
        <v>243</v>
      </c>
      <c r="F2" s="17">
        <f>D2/30</f>
        <v>228.22753333333353</v>
      </c>
    </row>
    <row r="3" spans="1:6" x14ac:dyDescent="0.15">
      <c r="A3" s="8">
        <v>45902</v>
      </c>
      <c r="B3" s="7" t="s">
        <v>143</v>
      </c>
      <c r="C3" s="7" t="s">
        <v>124</v>
      </c>
      <c r="D3" s="1">
        <v>6738.0859999999957</v>
      </c>
      <c r="E3" s="1">
        <v>283</v>
      </c>
      <c r="F3" s="17">
        <f>D3/30</f>
        <v>224.60286666666653</v>
      </c>
    </row>
    <row r="4" spans="1:6" x14ac:dyDescent="0.15">
      <c r="A4" s="8">
        <v>45903</v>
      </c>
      <c r="B4" s="7" t="s">
        <v>145</v>
      </c>
      <c r="C4" s="7" t="s">
        <v>125</v>
      </c>
      <c r="D4" s="1">
        <v>6427.5620000000026</v>
      </c>
      <c r="E4" s="1">
        <v>221</v>
      </c>
      <c r="F4" s="17">
        <f t="shared" ref="F4:F21" si="0">D4/30</f>
        <v>214.25206666666676</v>
      </c>
    </row>
    <row r="5" spans="1:6" x14ac:dyDescent="0.15">
      <c r="A5" s="8">
        <v>45904</v>
      </c>
      <c r="B5" s="7" t="s">
        <v>145</v>
      </c>
      <c r="C5" s="7" t="s">
        <v>126</v>
      </c>
      <c r="D5" s="1">
        <v>5977.0030000000015</v>
      </c>
      <c r="E5" s="1">
        <v>199</v>
      </c>
      <c r="F5" s="17">
        <f t="shared" si="0"/>
        <v>199.23343333333338</v>
      </c>
    </row>
    <row r="6" spans="1:6" x14ac:dyDescent="0.15">
      <c r="A6" s="8">
        <v>45905</v>
      </c>
      <c r="B6" s="7" t="s">
        <v>143</v>
      </c>
      <c r="C6" s="7" t="s">
        <v>127</v>
      </c>
      <c r="D6" s="1">
        <v>5655.2000000000007</v>
      </c>
      <c r="E6" s="1">
        <v>225</v>
      </c>
      <c r="F6" s="17">
        <f t="shared" si="0"/>
        <v>188.50666666666669</v>
      </c>
    </row>
    <row r="7" spans="1:6" x14ac:dyDescent="0.15">
      <c r="A7" s="8">
        <v>45906</v>
      </c>
      <c r="B7" s="7" t="s">
        <v>145</v>
      </c>
      <c r="C7" s="7" t="s">
        <v>128</v>
      </c>
      <c r="D7" s="1">
        <v>5587.213999999999</v>
      </c>
      <c r="E7" s="1">
        <v>206</v>
      </c>
      <c r="F7" s="17">
        <f t="shared" si="0"/>
        <v>186.24046666666663</v>
      </c>
    </row>
    <row r="8" spans="1:6" x14ac:dyDescent="0.15">
      <c r="A8" s="8">
        <v>45907</v>
      </c>
      <c r="B8" s="7" t="s">
        <v>145</v>
      </c>
      <c r="C8" s="7" t="s">
        <v>129</v>
      </c>
      <c r="D8" s="1">
        <v>5446.4260000000013</v>
      </c>
      <c r="E8" s="1">
        <v>198</v>
      </c>
      <c r="F8" s="17">
        <f t="shared" si="0"/>
        <v>181.54753333333338</v>
      </c>
    </row>
    <row r="9" spans="1:6" x14ac:dyDescent="0.15">
      <c r="A9" s="8">
        <v>45908</v>
      </c>
      <c r="B9" s="7" t="s">
        <v>145</v>
      </c>
      <c r="C9" s="7" t="s">
        <v>130</v>
      </c>
      <c r="D9" s="1">
        <v>5395.2380000000003</v>
      </c>
      <c r="E9" s="1">
        <v>164</v>
      </c>
      <c r="F9" s="17">
        <f t="shared" si="0"/>
        <v>179.84126666666668</v>
      </c>
    </row>
    <row r="10" spans="1:6" x14ac:dyDescent="0.15">
      <c r="A10" s="8">
        <v>45909</v>
      </c>
      <c r="B10" s="7" t="s">
        <v>145</v>
      </c>
      <c r="C10" s="7" t="s">
        <v>124</v>
      </c>
      <c r="D10" s="1">
        <v>5388.4640000000009</v>
      </c>
      <c r="E10" s="1">
        <v>181</v>
      </c>
      <c r="F10" s="17">
        <f t="shared" si="0"/>
        <v>179.61546666666669</v>
      </c>
    </row>
    <row r="11" spans="1:6" x14ac:dyDescent="0.15">
      <c r="A11" s="8">
        <v>45910</v>
      </c>
      <c r="B11" s="7" t="s">
        <v>145</v>
      </c>
      <c r="C11" s="7" t="s">
        <v>131</v>
      </c>
      <c r="D11" s="1">
        <v>5329.6329999999998</v>
      </c>
      <c r="E11" s="1">
        <v>167</v>
      </c>
      <c r="F11" s="17">
        <f t="shared" si="0"/>
        <v>177.65443333333332</v>
      </c>
    </row>
    <row r="12" spans="1:6" x14ac:dyDescent="0.15">
      <c r="A12" s="8">
        <v>45911</v>
      </c>
      <c r="B12" s="7" t="s">
        <v>145</v>
      </c>
      <c r="C12" s="7" t="s">
        <v>132</v>
      </c>
      <c r="D12" s="1">
        <v>5124.9309999999996</v>
      </c>
      <c r="E12" s="1">
        <v>200</v>
      </c>
      <c r="F12" s="17">
        <f t="shared" si="0"/>
        <v>170.83103333333332</v>
      </c>
    </row>
    <row r="13" spans="1:6" x14ac:dyDescent="0.15">
      <c r="A13" s="8">
        <v>45912</v>
      </c>
      <c r="B13" s="7" t="s">
        <v>143</v>
      </c>
      <c r="C13" s="7" t="s">
        <v>133</v>
      </c>
      <c r="D13" s="1">
        <v>5104.0400000000018</v>
      </c>
      <c r="E13" s="1">
        <v>220</v>
      </c>
      <c r="F13" s="17">
        <f t="shared" si="0"/>
        <v>170.13466666666673</v>
      </c>
    </row>
    <row r="14" spans="1:6" x14ac:dyDescent="0.15">
      <c r="A14" s="8">
        <v>45913</v>
      </c>
      <c r="B14" s="7" t="s">
        <v>145</v>
      </c>
      <c r="C14" s="7" t="s">
        <v>134</v>
      </c>
      <c r="D14" s="1">
        <v>5040.8310000000038</v>
      </c>
      <c r="E14" s="1">
        <v>174</v>
      </c>
      <c r="F14" s="17">
        <f t="shared" si="0"/>
        <v>168.02770000000012</v>
      </c>
    </row>
    <row r="15" spans="1:6" x14ac:dyDescent="0.15">
      <c r="A15" s="8">
        <v>45914</v>
      </c>
      <c r="B15" s="7" t="s">
        <v>143</v>
      </c>
      <c r="C15" s="7" t="s">
        <v>135</v>
      </c>
      <c r="D15" s="1">
        <v>4951.6849999999986</v>
      </c>
      <c r="E15" s="1">
        <v>213</v>
      </c>
      <c r="F15" s="17">
        <f t="shared" si="0"/>
        <v>165.05616666666663</v>
      </c>
    </row>
    <row r="16" spans="1:6" x14ac:dyDescent="0.15">
      <c r="A16" s="8">
        <v>45915</v>
      </c>
      <c r="B16" s="7" t="s">
        <v>144</v>
      </c>
      <c r="C16" s="7" t="s">
        <v>135</v>
      </c>
      <c r="D16" s="1">
        <v>4908.7199999999975</v>
      </c>
      <c r="E16" s="1">
        <v>194</v>
      </c>
      <c r="F16" s="17">
        <f t="shared" si="0"/>
        <v>163.62399999999991</v>
      </c>
    </row>
    <row r="17" spans="1:6" x14ac:dyDescent="0.15">
      <c r="A17" s="8">
        <v>45916</v>
      </c>
      <c r="B17" s="7" t="s">
        <v>143</v>
      </c>
      <c r="C17" s="7" t="s">
        <v>136</v>
      </c>
      <c r="D17" s="1">
        <v>4863.0689999999995</v>
      </c>
      <c r="E17" s="1">
        <v>201</v>
      </c>
      <c r="F17" s="17">
        <f t="shared" si="0"/>
        <v>162.10229999999999</v>
      </c>
    </row>
    <row r="18" spans="1:6" x14ac:dyDescent="0.15">
      <c r="A18" s="8">
        <v>45917</v>
      </c>
      <c r="B18" s="7" t="s">
        <v>143</v>
      </c>
      <c r="C18" s="7" t="s">
        <v>137</v>
      </c>
      <c r="D18" s="1">
        <v>4694.4699999999975</v>
      </c>
      <c r="E18" s="1">
        <v>205</v>
      </c>
      <c r="F18" s="17">
        <f t="shared" si="0"/>
        <v>156.48233333333326</v>
      </c>
    </row>
    <row r="19" spans="1:6" x14ac:dyDescent="0.15">
      <c r="A19" s="8">
        <v>45918</v>
      </c>
      <c r="B19" s="7" t="s">
        <v>145</v>
      </c>
      <c r="C19" s="7" t="s">
        <v>138</v>
      </c>
      <c r="D19" s="1">
        <v>4657.5870000000014</v>
      </c>
      <c r="E19" s="1">
        <v>176</v>
      </c>
      <c r="F19" s="17">
        <f t="shared" si="0"/>
        <v>155.25290000000004</v>
      </c>
    </row>
    <row r="20" spans="1:6" x14ac:dyDescent="0.15">
      <c r="A20" s="8">
        <v>45919</v>
      </c>
      <c r="B20" s="7" t="s">
        <v>143</v>
      </c>
      <c r="C20" s="7" t="s">
        <v>139</v>
      </c>
      <c r="D20" s="1">
        <v>4653.7999999999956</v>
      </c>
      <c r="E20" s="1">
        <v>198</v>
      </c>
      <c r="F20" s="17">
        <f t="shared" si="0"/>
        <v>155.12666666666652</v>
      </c>
    </row>
    <row r="21" spans="1:6" x14ac:dyDescent="0.15">
      <c r="A21" s="8">
        <v>45920</v>
      </c>
      <c r="B21" s="7" t="s">
        <v>143</v>
      </c>
      <c r="C21" s="7" t="s">
        <v>140</v>
      </c>
      <c r="D21" s="1">
        <v>4589.1600000000017</v>
      </c>
      <c r="E21" s="1">
        <v>175</v>
      </c>
      <c r="F21" s="17">
        <f t="shared" si="0"/>
        <v>152.97200000000007</v>
      </c>
    </row>
    <row r="22" spans="1:6" x14ac:dyDescent="0.15">
      <c r="A22" s="8">
        <v>45890</v>
      </c>
      <c r="B22" s="1" t="s">
        <v>143</v>
      </c>
      <c r="C22" s="1" t="s">
        <v>124</v>
      </c>
      <c r="D22" s="1">
        <v>7774.1670000000004</v>
      </c>
      <c r="E22" s="1">
        <v>320</v>
      </c>
      <c r="F22" s="18">
        <f>D22/31</f>
        <v>250.7795806451613</v>
      </c>
    </row>
    <row r="23" spans="1:6" x14ac:dyDescent="0.15">
      <c r="A23" s="8">
        <v>45891</v>
      </c>
      <c r="B23" s="1" t="s">
        <v>145</v>
      </c>
      <c r="C23" s="1" t="s">
        <v>124</v>
      </c>
      <c r="D23" s="1">
        <v>7509.2669999999989</v>
      </c>
      <c r="E23" s="1">
        <v>226</v>
      </c>
      <c r="F23" s="18">
        <f t="shared" ref="F23:F31" si="1">D23/31</f>
        <v>242.23441935483868</v>
      </c>
    </row>
    <row r="24" spans="1:6" x14ac:dyDescent="0.15">
      <c r="A24" s="8">
        <v>45892</v>
      </c>
      <c r="B24" s="1" t="s">
        <v>145</v>
      </c>
      <c r="C24" s="1" t="s">
        <v>125</v>
      </c>
      <c r="D24" s="1">
        <v>6529.8100000000031</v>
      </c>
      <c r="E24" s="1">
        <v>240</v>
      </c>
      <c r="F24" s="18">
        <f t="shared" si="1"/>
        <v>210.63903225806462</v>
      </c>
    </row>
    <row r="25" spans="1:6" x14ac:dyDescent="0.15">
      <c r="A25" s="8">
        <v>45893</v>
      </c>
      <c r="B25" s="1" t="s">
        <v>143</v>
      </c>
      <c r="C25" s="1" t="s">
        <v>135</v>
      </c>
      <c r="D25" s="1">
        <v>6392.5540000000001</v>
      </c>
      <c r="E25" s="1">
        <v>245</v>
      </c>
      <c r="F25" s="18">
        <f t="shared" si="1"/>
        <v>206.21141935483871</v>
      </c>
    </row>
    <row r="26" spans="1:6" x14ac:dyDescent="0.15">
      <c r="A26" s="8">
        <v>45894</v>
      </c>
      <c r="B26" s="1" t="s">
        <v>145</v>
      </c>
      <c r="C26" s="1" t="s">
        <v>132</v>
      </c>
      <c r="D26" s="1">
        <v>6240.3350000000037</v>
      </c>
      <c r="E26" s="1">
        <v>235</v>
      </c>
      <c r="F26" s="18">
        <f t="shared" si="1"/>
        <v>201.30112903225819</v>
      </c>
    </row>
    <row r="27" spans="1:6" x14ac:dyDescent="0.15">
      <c r="A27" s="8">
        <v>45895</v>
      </c>
      <c r="B27" s="1" t="s">
        <v>143</v>
      </c>
      <c r="C27" s="1" t="s">
        <v>139</v>
      </c>
      <c r="D27" s="1">
        <v>5933.8999999999978</v>
      </c>
      <c r="E27" s="1">
        <v>224</v>
      </c>
      <c r="F27" s="18">
        <f t="shared" si="1"/>
        <v>191.416129032258</v>
      </c>
    </row>
    <row r="28" spans="1:6" x14ac:dyDescent="0.15">
      <c r="A28" s="8">
        <v>45896</v>
      </c>
      <c r="B28" s="1" t="s">
        <v>145</v>
      </c>
      <c r="C28" s="1" t="s">
        <v>126</v>
      </c>
      <c r="D28" s="1">
        <v>5899.6409999999996</v>
      </c>
      <c r="E28" s="1">
        <v>214</v>
      </c>
      <c r="F28" s="18">
        <f t="shared" si="1"/>
        <v>190.31099999999998</v>
      </c>
    </row>
    <row r="29" spans="1:6" x14ac:dyDescent="0.15">
      <c r="A29" s="8">
        <v>45897</v>
      </c>
      <c r="B29" s="1" t="s">
        <v>145</v>
      </c>
      <c r="C29" s="1" t="s">
        <v>138</v>
      </c>
      <c r="D29" s="1">
        <v>5845.5980000000009</v>
      </c>
      <c r="E29" s="1">
        <v>199</v>
      </c>
      <c r="F29" s="18">
        <f t="shared" si="1"/>
        <v>188.56767741935488</v>
      </c>
    </row>
    <row r="30" spans="1:6" x14ac:dyDescent="0.15">
      <c r="A30" s="8">
        <v>45898</v>
      </c>
      <c r="B30" s="1" t="s">
        <v>143</v>
      </c>
      <c r="C30" s="1" t="s">
        <v>127</v>
      </c>
      <c r="D30" s="1">
        <v>5765.8460000000032</v>
      </c>
      <c r="E30" s="1">
        <v>243</v>
      </c>
      <c r="F30" s="18">
        <f t="shared" si="1"/>
        <v>185.99503225806461</v>
      </c>
    </row>
    <row r="31" spans="1:6" x14ac:dyDescent="0.15">
      <c r="A31" s="8">
        <v>45899</v>
      </c>
      <c r="B31" s="1" t="s">
        <v>143</v>
      </c>
      <c r="C31" s="1" t="s">
        <v>136</v>
      </c>
      <c r="D31" s="1">
        <v>5692.0220000000008</v>
      </c>
      <c r="E31" s="1">
        <v>232</v>
      </c>
      <c r="F31" s="18">
        <f t="shared" si="1"/>
        <v>183.61361290322583</v>
      </c>
    </row>
    <row r="32" spans="1:6" x14ac:dyDescent="0.15">
      <c r="A32" s="8">
        <v>45841</v>
      </c>
      <c r="B32" s="1" t="s">
        <v>143</v>
      </c>
      <c r="C32" s="1" t="s">
        <v>135</v>
      </c>
      <c r="D32" s="1">
        <v>8279.7780000000039</v>
      </c>
      <c r="E32" s="1">
        <v>291</v>
      </c>
      <c r="F32" s="18">
        <f>D32/31</f>
        <v>267.08961290322594</v>
      </c>
    </row>
    <row r="33" spans="1:6" x14ac:dyDescent="0.15">
      <c r="A33" s="8">
        <v>45842</v>
      </c>
      <c r="B33" s="1" t="s">
        <v>143</v>
      </c>
      <c r="C33" s="1" t="s">
        <v>124</v>
      </c>
      <c r="D33" s="1">
        <v>7966.2190000000001</v>
      </c>
      <c r="E33" s="1">
        <v>299</v>
      </c>
      <c r="F33" s="18">
        <f t="shared" ref="F33:F39" si="2">D33/31</f>
        <v>256.97480645161289</v>
      </c>
    </row>
    <row r="34" spans="1:6" x14ac:dyDescent="0.15">
      <c r="A34" s="8">
        <v>45843</v>
      </c>
      <c r="B34" s="1" t="s">
        <v>145</v>
      </c>
      <c r="C34" s="1" t="s">
        <v>124</v>
      </c>
      <c r="D34" s="1">
        <v>6972.8280000000004</v>
      </c>
      <c r="E34" s="1">
        <v>214</v>
      </c>
      <c r="F34" s="18">
        <f t="shared" si="2"/>
        <v>224.92993548387099</v>
      </c>
    </row>
    <row r="35" spans="1:6" x14ac:dyDescent="0.15">
      <c r="A35" s="8">
        <v>45844</v>
      </c>
      <c r="B35" s="1" t="s">
        <v>143</v>
      </c>
      <c r="C35" s="1" t="s">
        <v>136</v>
      </c>
      <c r="D35" s="1">
        <v>6769.8060000000005</v>
      </c>
      <c r="E35" s="1">
        <v>247</v>
      </c>
      <c r="F35" s="18">
        <f t="shared" si="2"/>
        <v>218.38083870967745</v>
      </c>
    </row>
    <row r="36" spans="1:6" x14ac:dyDescent="0.15">
      <c r="A36" s="8">
        <v>45845</v>
      </c>
      <c r="B36" s="1" t="s">
        <v>143</v>
      </c>
      <c r="C36" s="1" t="s">
        <v>127</v>
      </c>
      <c r="D36" s="1">
        <v>6470.1500000000024</v>
      </c>
      <c r="E36" s="1">
        <v>251</v>
      </c>
      <c r="F36" s="18">
        <f t="shared" si="2"/>
        <v>208.71451612903235</v>
      </c>
    </row>
    <row r="37" spans="1:6" x14ac:dyDescent="0.15">
      <c r="A37" s="8">
        <v>45846</v>
      </c>
      <c r="B37" s="1" t="s">
        <v>145</v>
      </c>
      <c r="C37" s="1" t="s">
        <v>131</v>
      </c>
      <c r="D37" s="1">
        <v>6329.952000000003</v>
      </c>
      <c r="E37" s="1">
        <v>203</v>
      </c>
      <c r="F37" s="18">
        <f t="shared" si="2"/>
        <v>204.19200000000009</v>
      </c>
    </row>
    <row r="38" spans="1:6" x14ac:dyDescent="0.15">
      <c r="A38" s="8">
        <v>45847</v>
      </c>
      <c r="B38" s="1" t="s">
        <v>144</v>
      </c>
      <c r="C38" s="1" t="s">
        <v>135</v>
      </c>
      <c r="D38" s="1">
        <v>6295.9800000000005</v>
      </c>
      <c r="E38" s="1">
        <v>252</v>
      </c>
      <c r="F38" s="18">
        <f t="shared" si="2"/>
        <v>203.09612903225809</v>
      </c>
    </row>
    <row r="39" spans="1:6" x14ac:dyDescent="0.15">
      <c r="A39" s="8">
        <v>45848</v>
      </c>
      <c r="B39" s="1" t="s">
        <v>145</v>
      </c>
      <c r="C39" s="1" t="s">
        <v>141</v>
      </c>
      <c r="D39" s="1">
        <v>6262.3699999999981</v>
      </c>
      <c r="E39" s="1">
        <v>191</v>
      </c>
      <c r="F39" s="18">
        <f t="shared" si="2"/>
        <v>202.0119354838709</v>
      </c>
    </row>
    <row r="40" spans="1:6" x14ac:dyDescent="0.15">
      <c r="A40" s="8">
        <v>45819</v>
      </c>
      <c r="B40" s="7" t="s">
        <v>143</v>
      </c>
      <c r="C40" s="7" t="s">
        <v>124</v>
      </c>
      <c r="D40" s="7">
        <v>7228.9719999999998</v>
      </c>
      <c r="E40" s="7">
        <v>286</v>
      </c>
      <c r="F40" s="17">
        <f>D40/30</f>
        <v>240.96573333333333</v>
      </c>
    </row>
    <row r="41" spans="1:6" x14ac:dyDescent="0.15">
      <c r="A41" s="8">
        <v>45820</v>
      </c>
      <c r="B41" s="7" t="s">
        <v>143</v>
      </c>
      <c r="C41" s="7" t="s">
        <v>127</v>
      </c>
      <c r="D41" s="7">
        <v>6946.9370000000017</v>
      </c>
      <c r="E41" s="7">
        <v>251</v>
      </c>
      <c r="F41" s="17">
        <f t="shared" ref="F41:F47" si="3">D41/30</f>
        <v>231.56456666666674</v>
      </c>
    </row>
    <row r="42" spans="1:6" x14ac:dyDescent="0.15">
      <c r="A42" s="8">
        <v>45821</v>
      </c>
      <c r="B42" s="7" t="s">
        <v>143</v>
      </c>
      <c r="C42" s="7" t="s">
        <v>135</v>
      </c>
      <c r="D42" s="7">
        <v>6167.3450000000039</v>
      </c>
      <c r="E42" s="7">
        <v>250</v>
      </c>
      <c r="F42" s="17">
        <f t="shared" si="3"/>
        <v>205.57816666666679</v>
      </c>
    </row>
    <row r="43" spans="1:6" x14ac:dyDescent="0.15">
      <c r="A43" s="8">
        <v>45822</v>
      </c>
      <c r="B43" s="7" t="s">
        <v>143</v>
      </c>
      <c r="C43" s="7" t="s">
        <v>136</v>
      </c>
      <c r="D43" s="7">
        <v>5895.784999999998</v>
      </c>
      <c r="E43" s="7">
        <v>217</v>
      </c>
      <c r="F43" s="17">
        <f t="shared" si="3"/>
        <v>196.5261666666666</v>
      </c>
    </row>
    <row r="44" spans="1:6" x14ac:dyDescent="0.15">
      <c r="A44" s="8">
        <v>45823</v>
      </c>
      <c r="B44" s="7" t="s">
        <v>145</v>
      </c>
      <c r="C44" s="7" t="s">
        <v>141</v>
      </c>
      <c r="D44" s="7">
        <v>5832.107</v>
      </c>
      <c r="E44" s="7">
        <v>158</v>
      </c>
      <c r="F44" s="17">
        <f t="shared" si="3"/>
        <v>194.40356666666668</v>
      </c>
    </row>
    <row r="45" spans="1:6" x14ac:dyDescent="0.15">
      <c r="A45" s="8">
        <v>45824</v>
      </c>
      <c r="B45" s="7" t="s">
        <v>143</v>
      </c>
      <c r="C45" s="7" t="s">
        <v>131</v>
      </c>
      <c r="D45" s="7">
        <v>5675.9550000000017</v>
      </c>
      <c r="E45" s="7">
        <v>226</v>
      </c>
      <c r="F45" s="17">
        <f t="shared" si="3"/>
        <v>189.19850000000005</v>
      </c>
    </row>
    <row r="46" spans="1:6" x14ac:dyDescent="0.15">
      <c r="A46" s="8">
        <v>45825</v>
      </c>
      <c r="B46" s="7" t="s">
        <v>143</v>
      </c>
      <c r="C46" s="7" t="s">
        <v>154</v>
      </c>
      <c r="D46" s="7">
        <v>5550.420000000001</v>
      </c>
      <c r="E46" s="7">
        <v>228</v>
      </c>
      <c r="F46" s="17">
        <f t="shared" si="3"/>
        <v>185.01400000000004</v>
      </c>
    </row>
    <row r="47" spans="1:6" x14ac:dyDescent="0.15">
      <c r="A47" s="8">
        <v>45826</v>
      </c>
      <c r="B47" s="7" t="s">
        <v>145</v>
      </c>
      <c r="C47" s="7" t="s">
        <v>123</v>
      </c>
      <c r="D47" s="7">
        <v>5405.474000000002</v>
      </c>
      <c r="E47" s="7">
        <v>209</v>
      </c>
      <c r="F47" s="17">
        <f t="shared" si="3"/>
        <v>180.18246666666673</v>
      </c>
    </row>
    <row r="48" spans="1:6" x14ac:dyDescent="0.15">
      <c r="A48" s="8">
        <v>45796</v>
      </c>
      <c r="B48" s="7" t="s">
        <v>143</v>
      </c>
      <c r="C48" s="7" t="s">
        <v>135</v>
      </c>
      <c r="D48" s="7">
        <v>8876.9879999999957</v>
      </c>
      <c r="E48" s="7">
        <v>292</v>
      </c>
      <c r="F48" s="17">
        <f>D48/31</f>
        <v>286.35445161290306</v>
      </c>
    </row>
    <row r="49" spans="1:6" x14ac:dyDescent="0.15">
      <c r="A49" s="8">
        <v>45797</v>
      </c>
      <c r="B49" s="7" t="s">
        <v>143</v>
      </c>
      <c r="C49" s="7" t="s">
        <v>124</v>
      </c>
      <c r="D49" s="7">
        <v>7881.9819999999972</v>
      </c>
      <c r="E49" s="7">
        <v>305</v>
      </c>
      <c r="F49" s="17">
        <f t="shared" ref="F49:F55" si="4">D49/31</f>
        <v>254.25748387096766</v>
      </c>
    </row>
    <row r="50" spans="1:6" x14ac:dyDescent="0.15">
      <c r="A50" s="8">
        <v>45798</v>
      </c>
      <c r="B50" s="7" t="s">
        <v>143</v>
      </c>
      <c r="C50" s="7" t="s">
        <v>136</v>
      </c>
      <c r="D50" s="7">
        <v>7502.072000000001</v>
      </c>
      <c r="E50" s="7">
        <v>272</v>
      </c>
      <c r="F50" s="17">
        <f t="shared" si="4"/>
        <v>242.0023225806452</v>
      </c>
    </row>
    <row r="51" spans="1:6" x14ac:dyDescent="0.15">
      <c r="A51" s="8">
        <v>45799</v>
      </c>
      <c r="B51" s="7" t="s">
        <v>143</v>
      </c>
      <c r="C51" s="7" t="s">
        <v>131</v>
      </c>
      <c r="D51" s="7">
        <v>7333.8789999999999</v>
      </c>
      <c r="E51" s="7">
        <v>271</v>
      </c>
      <c r="F51" s="17">
        <f t="shared" si="4"/>
        <v>236.57674193548388</v>
      </c>
    </row>
    <row r="52" spans="1:6" x14ac:dyDescent="0.15">
      <c r="A52" s="8">
        <v>45800</v>
      </c>
      <c r="B52" s="7" t="s">
        <v>143</v>
      </c>
      <c r="C52" s="7" t="s">
        <v>127</v>
      </c>
      <c r="D52" s="7">
        <v>6472.2400000000007</v>
      </c>
      <c r="E52" s="7">
        <v>223</v>
      </c>
      <c r="F52" s="17">
        <f t="shared" si="4"/>
        <v>208.781935483871</v>
      </c>
    </row>
    <row r="53" spans="1:6" x14ac:dyDescent="0.15">
      <c r="A53" s="8">
        <v>45801</v>
      </c>
      <c r="B53" s="7" t="s">
        <v>145</v>
      </c>
      <c r="C53" s="7" t="s">
        <v>141</v>
      </c>
      <c r="D53" s="7">
        <v>5638.5669999999991</v>
      </c>
      <c r="E53" s="7">
        <v>178</v>
      </c>
      <c r="F53" s="17">
        <f t="shared" si="4"/>
        <v>181.8892580645161</v>
      </c>
    </row>
    <row r="54" spans="1:6" x14ac:dyDescent="0.15">
      <c r="A54" s="8">
        <v>45802</v>
      </c>
      <c r="B54" s="7" t="s">
        <v>145</v>
      </c>
      <c r="C54" s="7" t="s">
        <v>130</v>
      </c>
      <c r="D54" s="7">
        <v>5343.9630000000025</v>
      </c>
      <c r="E54" s="7">
        <v>155</v>
      </c>
      <c r="F54" s="17">
        <f t="shared" si="4"/>
        <v>172.38590322580654</v>
      </c>
    </row>
    <row r="55" spans="1:6" x14ac:dyDescent="0.15">
      <c r="A55" s="8">
        <v>45803</v>
      </c>
      <c r="B55" s="7" t="s">
        <v>143</v>
      </c>
      <c r="C55" s="7" t="s">
        <v>154</v>
      </c>
      <c r="D55" s="7">
        <v>5343.7000000000035</v>
      </c>
      <c r="E55" s="7">
        <v>222</v>
      </c>
      <c r="F55" s="17">
        <f t="shared" si="4"/>
        <v>172.37741935483882</v>
      </c>
    </row>
    <row r="56" spans="1:6" x14ac:dyDescent="0.15">
      <c r="A56" s="8">
        <v>45754</v>
      </c>
      <c r="B56" s="7" t="s">
        <v>143</v>
      </c>
      <c r="C56" s="7" t="s">
        <v>135</v>
      </c>
      <c r="D56" s="7">
        <v>6997.0160000000024</v>
      </c>
      <c r="E56" s="7">
        <v>240</v>
      </c>
      <c r="F56" s="17">
        <f>D56/30</f>
        <v>233.23386666666676</v>
      </c>
    </row>
    <row r="57" spans="1:6" x14ac:dyDescent="0.15">
      <c r="A57" s="8">
        <v>45754</v>
      </c>
      <c r="B57" s="7" t="s">
        <v>143</v>
      </c>
      <c r="C57" s="7" t="s">
        <v>131</v>
      </c>
      <c r="D57" s="7">
        <v>6692.0239999999958</v>
      </c>
      <c r="E57" s="7">
        <v>239</v>
      </c>
      <c r="F57" s="17">
        <f t="shared" ref="F57:F63" si="5">D57/30</f>
        <v>223.06746666666652</v>
      </c>
    </row>
    <row r="58" spans="1:6" x14ac:dyDescent="0.15">
      <c r="A58" s="8">
        <v>45754</v>
      </c>
      <c r="B58" s="7" t="s">
        <v>143</v>
      </c>
      <c r="C58" s="7" t="s">
        <v>136</v>
      </c>
      <c r="D58" s="7">
        <v>6508.0019999999995</v>
      </c>
      <c r="E58" s="7">
        <v>234</v>
      </c>
      <c r="F58" s="17">
        <f t="shared" si="5"/>
        <v>216.93339999999998</v>
      </c>
    </row>
    <row r="59" spans="1:6" x14ac:dyDescent="0.15">
      <c r="A59" s="8">
        <v>45754</v>
      </c>
      <c r="B59" s="7" t="s">
        <v>143</v>
      </c>
      <c r="C59" s="7" t="s">
        <v>124</v>
      </c>
      <c r="D59" s="7">
        <v>6049.5960000000005</v>
      </c>
      <c r="E59" s="7">
        <v>219</v>
      </c>
      <c r="F59" s="17">
        <f t="shared" si="5"/>
        <v>201.65320000000003</v>
      </c>
    </row>
    <row r="60" spans="1:6" x14ac:dyDescent="0.15">
      <c r="A60" s="8">
        <v>45754</v>
      </c>
      <c r="B60" s="7" t="s">
        <v>143</v>
      </c>
      <c r="C60" s="7" t="s">
        <v>154</v>
      </c>
      <c r="D60" s="7">
        <v>6002.58</v>
      </c>
      <c r="E60" s="7">
        <v>237</v>
      </c>
      <c r="F60" s="17">
        <f t="shared" si="5"/>
        <v>200.08599999999998</v>
      </c>
    </row>
    <row r="61" spans="1:6" x14ac:dyDescent="0.15">
      <c r="A61" s="8">
        <v>45754</v>
      </c>
      <c r="B61" s="7" t="s">
        <v>145</v>
      </c>
      <c r="C61" s="7" t="s">
        <v>130</v>
      </c>
      <c r="D61" s="7">
        <v>5260.849000000002</v>
      </c>
      <c r="E61" s="7">
        <v>160</v>
      </c>
      <c r="F61" s="17">
        <f t="shared" si="5"/>
        <v>175.3616333333334</v>
      </c>
    </row>
    <row r="62" spans="1:6" x14ac:dyDescent="0.15">
      <c r="A62" s="8">
        <v>45754</v>
      </c>
      <c r="B62" s="7" t="s">
        <v>143</v>
      </c>
      <c r="C62" s="7" t="s">
        <v>127</v>
      </c>
      <c r="D62" s="7">
        <v>5014.5709999999972</v>
      </c>
      <c r="E62" s="7">
        <v>185</v>
      </c>
      <c r="F62" s="17">
        <f t="shared" si="5"/>
        <v>167.15236666666658</v>
      </c>
    </row>
    <row r="63" spans="1:6" x14ac:dyDescent="0.15">
      <c r="A63" s="8">
        <v>45754</v>
      </c>
      <c r="B63" s="7" t="s">
        <v>145</v>
      </c>
      <c r="C63" s="7" t="s">
        <v>142</v>
      </c>
      <c r="D63" s="7">
        <v>4837.1960000000008</v>
      </c>
      <c r="E63" s="7">
        <v>152</v>
      </c>
      <c r="F63" s="17">
        <f t="shared" si="5"/>
        <v>161.2398666666667</v>
      </c>
    </row>
    <row r="64" spans="1:6" x14ac:dyDescent="0.15">
      <c r="A64" s="8">
        <v>45724</v>
      </c>
      <c r="B64" s="7" t="s">
        <v>143</v>
      </c>
      <c r="C64" s="7" t="s">
        <v>135</v>
      </c>
      <c r="D64" s="7">
        <v>7549.9179999999978</v>
      </c>
      <c r="E64" s="7">
        <v>249</v>
      </c>
      <c r="F64" s="17">
        <f>D64/31</f>
        <v>243.54574193548379</v>
      </c>
    </row>
    <row r="65" spans="1:6" x14ac:dyDescent="0.15">
      <c r="A65" s="8">
        <v>45724</v>
      </c>
      <c r="B65" s="7" t="s">
        <v>145</v>
      </c>
      <c r="C65" s="7" t="s">
        <v>124</v>
      </c>
      <c r="D65" s="7">
        <v>6864.1479999999992</v>
      </c>
      <c r="E65" s="7">
        <v>190</v>
      </c>
      <c r="F65" s="17">
        <f t="shared" ref="F65:F71" si="6">D65/31</f>
        <v>221.42412903225804</v>
      </c>
    </row>
    <row r="66" spans="1:6" x14ac:dyDescent="0.15">
      <c r="A66" s="8">
        <v>45724</v>
      </c>
      <c r="B66" s="7" t="s">
        <v>143</v>
      </c>
      <c r="C66" s="7" t="s">
        <v>127</v>
      </c>
      <c r="D66" s="7">
        <v>6814.5869999999968</v>
      </c>
      <c r="E66" s="7">
        <v>247</v>
      </c>
      <c r="F66" s="17">
        <f t="shared" si="6"/>
        <v>219.82538709677408</v>
      </c>
    </row>
    <row r="67" spans="1:6" x14ac:dyDescent="0.15">
      <c r="A67" s="8">
        <v>45724</v>
      </c>
      <c r="B67" s="7" t="s">
        <v>143</v>
      </c>
      <c r="C67" s="7" t="s">
        <v>124</v>
      </c>
      <c r="D67" s="7">
        <v>6771.3449999999957</v>
      </c>
      <c r="E67" s="7">
        <v>240</v>
      </c>
      <c r="F67" s="17">
        <f t="shared" si="6"/>
        <v>218.43048387096761</v>
      </c>
    </row>
    <row r="68" spans="1:6" x14ac:dyDescent="0.15">
      <c r="A68" s="8">
        <v>45724</v>
      </c>
      <c r="B68" s="7" t="s">
        <v>145</v>
      </c>
      <c r="C68" s="7" t="s">
        <v>131</v>
      </c>
      <c r="D68" s="7">
        <v>6247.6099999999951</v>
      </c>
      <c r="E68" s="7">
        <v>175</v>
      </c>
      <c r="F68" s="17">
        <f t="shared" si="6"/>
        <v>201.53580645161276</v>
      </c>
    </row>
    <row r="69" spans="1:6" x14ac:dyDescent="0.15">
      <c r="A69" s="8">
        <v>45724</v>
      </c>
      <c r="B69" s="7" t="s">
        <v>143</v>
      </c>
      <c r="C69" s="7" t="s">
        <v>131</v>
      </c>
      <c r="D69" s="7">
        <v>6122.2339999999949</v>
      </c>
      <c r="E69" s="7">
        <v>217</v>
      </c>
      <c r="F69" s="17">
        <f t="shared" si="6"/>
        <v>197.49141935483854</v>
      </c>
    </row>
    <row r="70" spans="1:6" x14ac:dyDescent="0.15">
      <c r="A70" s="8">
        <v>45724</v>
      </c>
      <c r="B70" s="7" t="s">
        <v>143</v>
      </c>
      <c r="C70" s="7" t="s">
        <v>140</v>
      </c>
      <c r="D70" s="7">
        <v>6118.02</v>
      </c>
      <c r="E70" s="7">
        <v>237</v>
      </c>
      <c r="F70" s="17">
        <f t="shared" si="6"/>
        <v>197.35548387096776</v>
      </c>
    </row>
    <row r="71" spans="1:6" x14ac:dyDescent="0.15">
      <c r="A71" s="8">
        <v>45724</v>
      </c>
      <c r="B71" s="7" t="s">
        <v>143</v>
      </c>
      <c r="C71" s="7" t="s">
        <v>136</v>
      </c>
      <c r="D71" s="7">
        <v>5879.9939999999979</v>
      </c>
      <c r="E71" s="7">
        <v>206</v>
      </c>
      <c r="F71" s="17">
        <f t="shared" si="6"/>
        <v>189.67722580645153</v>
      </c>
    </row>
    <row r="72" spans="1:6" x14ac:dyDescent="0.15">
      <c r="A72" s="8">
        <v>45697</v>
      </c>
      <c r="B72" s="7" t="s">
        <v>145</v>
      </c>
      <c r="C72" s="7" t="s">
        <v>131</v>
      </c>
      <c r="D72" s="7">
        <v>6623.4480000000003</v>
      </c>
      <c r="E72" s="7">
        <v>159</v>
      </c>
      <c r="F72" s="17">
        <f>D72/28</f>
        <v>236.5517142857143</v>
      </c>
    </row>
    <row r="73" spans="1:6" x14ac:dyDescent="0.15">
      <c r="A73" s="8">
        <v>45698</v>
      </c>
      <c r="B73" s="7" t="s">
        <v>145</v>
      </c>
      <c r="C73" s="7" t="s">
        <v>124</v>
      </c>
      <c r="D73" s="7">
        <v>6096.9990000000007</v>
      </c>
      <c r="E73" s="7">
        <v>159</v>
      </c>
      <c r="F73" s="17">
        <f t="shared" ref="F73:F79" si="7">D73/28</f>
        <v>217.7499642857143</v>
      </c>
    </row>
    <row r="74" spans="1:6" x14ac:dyDescent="0.15">
      <c r="A74" s="8">
        <v>45699</v>
      </c>
      <c r="B74" s="7" t="s">
        <v>143</v>
      </c>
      <c r="C74" s="7" t="s">
        <v>135</v>
      </c>
      <c r="D74" s="7">
        <v>5951.6709999999985</v>
      </c>
      <c r="E74" s="7">
        <v>204</v>
      </c>
      <c r="F74" s="17">
        <f t="shared" si="7"/>
        <v>212.55967857142852</v>
      </c>
    </row>
    <row r="75" spans="1:6" x14ac:dyDescent="0.15">
      <c r="A75" s="8">
        <v>45700</v>
      </c>
      <c r="B75" s="7" t="s">
        <v>143</v>
      </c>
      <c r="C75" s="7" t="s">
        <v>131</v>
      </c>
      <c r="D75" s="7">
        <v>5919.3840000000027</v>
      </c>
      <c r="E75" s="7">
        <v>198</v>
      </c>
      <c r="F75" s="17">
        <f t="shared" si="7"/>
        <v>211.40657142857154</v>
      </c>
    </row>
    <row r="76" spans="1:6" x14ac:dyDescent="0.15">
      <c r="A76" s="8">
        <v>45701</v>
      </c>
      <c r="B76" s="7" t="s">
        <v>143</v>
      </c>
      <c r="C76" s="7" t="s">
        <v>127</v>
      </c>
      <c r="D76" s="7">
        <v>5528.0690000000013</v>
      </c>
      <c r="E76" s="7">
        <v>184</v>
      </c>
      <c r="F76" s="17">
        <f t="shared" si="7"/>
        <v>197.43103571428577</v>
      </c>
    </row>
    <row r="77" spans="1:6" x14ac:dyDescent="0.15">
      <c r="A77" s="8">
        <v>45702</v>
      </c>
      <c r="B77" s="7" t="s">
        <v>145</v>
      </c>
      <c r="C77" s="7" t="s">
        <v>156</v>
      </c>
      <c r="D77" s="7">
        <v>5470.9070000000002</v>
      </c>
      <c r="E77" s="7">
        <v>150</v>
      </c>
      <c r="F77" s="17">
        <f t="shared" si="7"/>
        <v>195.38953571428573</v>
      </c>
    </row>
    <row r="78" spans="1:6" x14ac:dyDescent="0.15">
      <c r="A78" s="8">
        <v>45703</v>
      </c>
      <c r="B78" s="7" t="s">
        <v>143</v>
      </c>
      <c r="C78" s="7" t="s">
        <v>124</v>
      </c>
      <c r="D78" s="7">
        <v>5445.0800000000027</v>
      </c>
      <c r="E78" s="7">
        <v>176</v>
      </c>
      <c r="F78" s="17">
        <f t="shared" si="7"/>
        <v>194.46714285714296</v>
      </c>
    </row>
    <row r="79" spans="1:6" x14ac:dyDescent="0.15">
      <c r="A79" s="8">
        <v>45704</v>
      </c>
      <c r="B79" s="7" t="s">
        <v>145</v>
      </c>
      <c r="C79" s="7" t="s">
        <v>123</v>
      </c>
      <c r="D79" s="7">
        <v>5385.9720000000007</v>
      </c>
      <c r="E79" s="7">
        <v>184</v>
      </c>
      <c r="F79" s="17">
        <f t="shared" si="7"/>
        <v>192.35614285714288</v>
      </c>
    </row>
    <row r="80" spans="1:6" x14ac:dyDescent="0.15">
      <c r="A80" s="8">
        <v>45674</v>
      </c>
      <c r="B80" s="7" t="s">
        <v>143</v>
      </c>
      <c r="C80" s="7" t="s">
        <v>135</v>
      </c>
      <c r="D80" s="7">
        <v>6027.4990000000016</v>
      </c>
      <c r="E80" s="7">
        <v>195</v>
      </c>
      <c r="F80" s="17">
        <f>D80/31</f>
        <v>194.43545161290328</v>
      </c>
    </row>
    <row r="81" spans="1:6" x14ac:dyDescent="0.15">
      <c r="A81" s="8">
        <v>45675</v>
      </c>
      <c r="B81" s="7" t="s">
        <v>145</v>
      </c>
      <c r="C81" s="7" t="s">
        <v>129</v>
      </c>
      <c r="D81" s="7">
        <v>5907.101999999999</v>
      </c>
      <c r="E81" s="7">
        <v>193</v>
      </c>
      <c r="F81" s="17">
        <f t="shared" ref="F81:F86" si="8">D81/31</f>
        <v>190.5516774193548</v>
      </c>
    </row>
    <row r="82" spans="1:6" x14ac:dyDescent="0.15">
      <c r="A82" s="8">
        <v>45676</v>
      </c>
      <c r="B82" s="7" t="s">
        <v>145</v>
      </c>
      <c r="C82" s="7" t="s">
        <v>126</v>
      </c>
      <c r="D82" s="7">
        <v>5903.7110000000021</v>
      </c>
      <c r="E82" s="7">
        <v>180</v>
      </c>
      <c r="F82" s="17">
        <f t="shared" si="8"/>
        <v>190.4422903225807</v>
      </c>
    </row>
    <row r="83" spans="1:6" x14ac:dyDescent="0.15">
      <c r="A83" s="8">
        <v>45677</v>
      </c>
      <c r="B83" s="7" t="s">
        <v>143</v>
      </c>
      <c r="C83" s="7" t="s">
        <v>131</v>
      </c>
      <c r="D83" s="7">
        <v>5687.555000000003</v>
      </c>
      <c r="E83" s="7">
        <v>182</v>
      </c>
      <c r="F83" s="17">
        <f t="shared" si="8"/>
        <v>183.46951612903234</v>
      </c>
    </row>
    <row r="84" spans="1:6" x14ac:dyDescent="0.15">
      <c r="A84" s="8">
        <v>45678</v>
      </c>
      <c r="B84" s="7" t="s">
        <v>165</v>
      </c>
      <c r="C84" s="7" t="s">
        <v>124</v>
      </c>
      <c r="D84" s="7">
        <v>5609.2339999999967</v>
      </c>
      <c r="E84" s="7">
        <v>181</v>
      </c>
      <c r="F84" s="17">
        <f t="shared" si="8"/>
        <v>180.94303225806442</v>
      </c>
    </row>
    <row r="85" spans="1:6" x14ac:dyDescent="0.15">
      <c r="A85" s="8">
        <v>45679</v>
      </c>
      <c r="B85" s="7" t="s">
        <v>145</v>
      </c>
      <c r="C85" s="7" t="s">
        <v>124</v>
      </c>
      <c r="D85" s="7">
        <v>5462.347999999999</v>
      </c>
      <c r="E85" s="7">
        <v>132</v>
      </c>
      <c r="F85" s="17">
        <f t="shared" si="8"/>
        <v>176.20477419354836</v>
      </c>
    </row>
    <row r="86" spans="1:6" x14ac:dyDescent="0.15">
      <c r="A86" s="8">
        <v>45680</v>
      </c>
      <c r="B86" s="7" t="s">
        <v>145</v>
      </c>
      <c r="C86" s="7" t="s">
        <v>131</v>
      </c>
      <c r="D86" s="7">
        <v>5446.4840000000031</v>
      </c>
      <c r="E86" s="7">
        <v>145</v>
      </c>
      <c r="F86" s="17">
        <f t="shared" si="8"/>
        <v>175.69303225806462</v>
      </c>
    </row>
    <row r="87" spans="1:6" x14ac:dyDescent="0.15">
      <c r="A87" s="8">
        <v>45681</v>
      </c>
      <c r="B87" s="7" t="s">
        <v>164</v>
      </c>
      <c r="C87" s="7" t="s">
        <v>128</v>
      </c>
      <c r="D87" s="7">
        <v>5360.3080000000009</v>
      </c>
      <c r="E87" s="7">
        <v>162</v>
      </c>
      <c r="F87" s="17">
        <f>D87/31</f>
        <v>172.91316129032262</v>
      </c>
    </row>
    <row r="88" spans="1:6" x14ac:dyDescent="0.15">
      <c r="A88" s="8">
        <v>45932</v>
      </c>
      <c r="B88" s="1" t="s">
        <v>145</v>
      </c>
      <c r="C88" s="1" t="s">
        <v>123</v>
      </c>
      <c r="D88" s="1">
        <v>6464.2200000000012</v>
      </c>
      <c r="E88" s="1">
        <v>237</v>
      </c>
      <c r="F88" s="18">
        <f>D88/31</f>
        <v>208.52322580645165</v>
      </c>
    </row>
    <row r="89" spans="1:6" x14ac:dyDescent="0.15">
      <c r="A89" s="8">
        <v>45933</v>
      </c>
      <c r="B89" s="1" t="s">
        <v>145</v>
      </c>
      <c r="C89" s="1" t="s">
        <v>132</v>
      </c>
      <c r="D89" s="1">
        <v>6029.7140000000045</v>
      </c>
      <c r="E89" s="1">
        <v>223</v>
      </c>
      <c r="F89" s="18">
        <f t="shared" ref="F89:F97" si="9">D89/31</f>
        <v>194.50690322580661</v>
      </c>
    </row>
    <row r="90" spans="1:6" x14ac:dyDescent="0.15">
      <c r="A90" s="8">
        <v>45934</v>
      </c>
      <c r="B90" s="1" t="s">
        <v>143</v>
      </c>
      <c r="C90" s="1" t="s">
        <v>124</v>
      </c>
      <c r="D90" s="1">
        <v>6017.4929999999995</v>
      </c>
      <c r="E90" s="1">
        <v>273</v>
      </c>
      <c r="F90" s="18">
        <f t="shared" si="9"/>
        <v>194.11267741935481</v>
      </c>
    </row>
    <row r="91" spans="1:6" x14ac:dyDescent="0.15">
      <c r="A91" s="8">
        <v>45935</v>
      </c>
      <c r="B91" s="1" t="s">
        <v>145</v>
      </c>
      <c r="C91" s="1" t="s">
        <v>129</v>
      </c>
      <c r="D91" s="1">
        <v>5987.6540000000005</v>
      </c>
      <c r="E91" s="1">
        <v>233</v>
      </c>
      <c r="F91" s="18">
        <f t="shared" si="9"/>
        <v>193.15012903225809</v>
      </c>
    </row>
    <row r="92" spans="1:6" x14ac:dyDescent="0.15">
      <c r="A92" s="8">
        <v>45936</v>
      </c>
      <c r="B92" s="1" t="s">
        <v>143</v>
      </c>
      <c r="C92" s="1" t="s">
        <v>135</v>
      </c>
      <c r="D92" s="1">
        <v>5841.3279999999995</v>
      </c>
      <c r="E92" s="1">
        <v>232</v>
      </c>
      <c r="F92" s="18">
        <f t="shared" si="9"/>
        <v>188.42993548387096</v>
      </c>
    </row>
    <row r="93" spans="1:6" x14ac:dyDescent="0.15">
      <c r="A93" s="8">
        <v>45937</v>
      </c>
      <c r="B93" s="1" t="s">
        <v>145</v>
      </c>
      <c r="C93" s="1" t="s">
        <v>128</v>
      </c>
      <c r="D93" s="1">
        <v>5537.5310000000018</v>
      </c>
      <c r="E93" s="1">
        <v>215</v>
      </c>
      <c r="F93" s="18">
        <f t="shared" si="9"/>
        <v>178.63003225806457</v>
      </c>
    </row>
    <row r="94" spans="1:6" x14ac:dyDescent="0.15">
      <c r="A94" s="8">
        <v>45938</v>
      </c>
      <c r="B94" s="1" t="s">
        <v>143</v>
      </c>
      <c r="C94" s="1" t="s">
        <v>127</v>
      </c>
      <c r="D94" s="1">
        <v>5528.3860000000013</v>
      </c>
      <c r="E94" s="1">
        <v>234</v>
      </c>
      <c r="F94" s="18">
        <f t="shared" si="9"/>
        <v>178.33503225806456</v>
      </c>
    </row>
    <row r="95" spans="1:6" x14ac:dyDescent="0.15">
      <c r="A95" s="8">
        <v>45939</v>
      </c>
      <c r="B95" s="1" t="s">
        <v>145</v>
      </c>
      <c r="C95" s="1" t="s">
        <v>124</v>
      </c>
      <c r="D95" s="1">
        <v>5506.4829999999984</v>
      </c>
      <c r="E95" s="1">
        <v>172</v>
      </c>
      <c r="F95" s="18">
        <f t="shared" si="9"/>
        <v>177.6284838709677</v>
      </c>
    </row>
    <row r="96" spans="1:6" x14ac:dyDescent="0.15">
      <c r="A96" s="8">
        <v>45940</v>
      </c>
      <c r="B96" s="1" t="s">
        <v>145</v>
      </c>
      <c r="C96" s="1" t="s">
        <v>130</v>
      </c>
      <c r="D96" s="1">
        <v>5282.5069999999996</v>
      </c>
      <c r="E96" s="1">
        <v>160</v>
      </c>
      <c r="F96" s="18">
        <f t="shared" si="9"/>
        <v>170.40345161290321</v>
      </c>
    </row>
    <row r="97" spans="1:6" x14ac:dyDescent="0.15">
      <c r="A97" s="8">
        <v>45941</v>
      </c>
      <c r="B97" s="1" t="s">
        <v>168</v>
      </c>
      <c r="C97" s="1" t="s">
        <v>125</v>
      </c>
      <c r="D97" s="1">
        <v>5247.6970000000028</v>
      </c>
      <c r="E97" s="1">
        <v>186</v>
      </c>
      <c r="F97" s="18">
        <f t="shared" si="9"/>
        <v>169.28054838709687</v>
      </c>
    </row>
    <row r="98" spans="1:6" x14ac:dyDescent="0.15">
      <c r="A98" s="8">
        <v>45973</v>
      </c>
      <c r="B98" s="7" t="s">
        <v>145</v>
      </c>
      <c r="C98" s="7" t="s">
        <v>123</v>
      </c>
      <c r="D98" s="7">
        <v>5896.2929999999997</v>
      </c>
      <c r="E98" s="7">
        <v>229</v>
      </c>
      <c r="F98" s="18">
        <f>D98/30</f>
        <v>196.54309999999998</v>
      </c>
    </row>
    <row r="99" spans="1:6" x14ac:dyDescent="0.15">
      <c r="A99" s="8">
        <v>45974</v>
      </c>
      <c r="B99" s="7" t="s">
        <v>143</v>
      </c>
      <c r="C99" s="7" t="s">
        <v>135</v>
      </c>
      <c r="D99" s="7">
        <v>5730.5070000000014</v>
      </c>
      <c r="E99" s="7">
        <v>243</v>
      </c>
      <c r="F99" s="18">
        <f>D99/30</f>
        <v>191.01690000000005</v>
      </c>
    </row>
    <row r="100" spans="1:6" x14ac:dyDescent="0.15">
      <c r="A100" s="8">
        <v>45975</v>
      </c>
      <c r="B100" s="7" t="s">
        <v>143</v>
      </c>
      <c r="C100" s="7" t="s">
        <v>124</v>
      </c>
      <c r="D100" s="7">
        <v>5716.6359999999986</v>
      </c>
      <c r="E100" s="7">
        <v>261</v>
      </c>
      <c r="F100" s="18">
        <f t="shared" ref="F100:F117" si="10">D100/30</f>
        <v>190.5545333333333</v>
      </c>
    </row>
    <row r="101" spans="1:6" x14ac:dyDescent="0.15">
      <c r="A101" s="8">
        <v>45976</v>
      </c>
      <c r="B101" s="7" t="s">
        <v>145</v>
      </c>
      <c r="C101" s="7" t="s">
        <v>125</v>
      </c>
      <c r="D101" s="7">
        <v>5457.9930000000013</v>
      </c>
      <c r="E101" s="7">
        <v>213</v>
      </c>
      <c r="F101" s="18">
        <f t="shared" si="10"/>
        <v>181.93310000000005</v>
      </c>
    </row>
    <row r="102" spans="1:6" x14ac:dyDescent="0.15">
      <c r="A102" s="8">
        <v>45977</v>
      </c>
      <c r="B102" s="7" t="s">
        <v>145</v>
      </c>
      <c r="C102" s="7" t="s">
        <v>124</v>
      </c>
      <c r="D102" s="7">
        <v>5428.4710000000005</v>
      </c>
      <c r="E102" s="7">
        <v>184</v>
      </c>
      <c r="F102" s="18">
        <f t="shared" si="10"/>
        <v>180.94903333333335</v>
      </c>
    </row>
    <row r="103" spans="1:6" x14ac:dyDescent="0.15">
      <c r="A103" s="8">
        <v>45978</v>
      </c>
      <c r="B103" s="7" t="s">
        <v>145</v>
      </c>
      <c r="C103" s="7" t="s">
        <v>129</v>
      </c>
      <c r="D103" s="7">
        <v>5357.2280000000019</v>
      </c>
      <c r="E103" s="7">
        <v>213</v>
      </c>
      <c r="F103" s="18">
        <f t="shared" si="10"/>
        <v>178.57426666666672</v>
      </c>
    </row>
    <row r="104" spans="1:6" x14ac:dyDescent="0.15">
      <c r="A104" s="8">
        <v>45979</v>
      </c>
      <c r="B104" s="7" t="s">
        <v>145</v>
      </c>
      <c r="C104" s="7" t="s">
        <v>128</v>
      </c>
      <c r="D104" s="7">
        <v>5346.1090000000013</v>
      </c>
      <c r="E104" s="7">
        <v>208</v>
      </c>
      <c r="F104" s="18">
        <f t="shared" si="10"/>
        <v>178.20363333333339</v>
      </c>
    </row>
    <row r="105" spans="1:6" x14ac:dyDescent="0.15">
      <c r="A105" s="8">
        <v>45980</v>
      </c>
      <c r="B105" s="7" t="s">
        <v>145</v>
      </c>
      <c r="C105" s="7" t="s">
        <v>126</v>
      </c>
      <c r="D105" s="7">
        <v>5072.5409999999993</v>
      </c>
      <c r="E105" s="7">
        <v>186</v>
      </c>
      <c r="F105" s="18">
        <f t="shared" si="10"/>
        <v>169.08469999999997</v>
      </c>
    </row>
    <row r="106" spans="1:6" x14ac:dyDescent="0.15">
      <c r="A106" s="8">
        <v>45981</v>
      </c>
      <c r="B106" s="7" t="s">
        <v>145</v>
      </c>
      <c r="C106" s="7" t="s">
        <v>132</v>
      </c>
      <c r="D106" s="7">
        <v>5040.6410000000014</v>
      </c>
      <c r="E106" s="7">
        <v>196</v>
      </c>
      <c r="F106" s="18">
        <f t="shared" si="10"/>
        <v>168.02136666666672</v>
      </c>
    </row>
    <row r="107" spans="1:6" x14ac:dyDescent="0.15">
      <c r="A107" s="8">
        <v>45982</v>
      </c>
      <c r="B107" s="7" t="s">
        <v>143</v>
      </c>
      <c r="C107" s="7" t="s">
        <v>127</v>
      </c>
      <c r="D107" s="7">
        <v>4977.1459999999961</v>
      </c>
      <c r="E107" s="7">
        <v>199</v>
      </c>
      <c r="F107" s="18">
        <f t="shared" si="10"/>
        <v>165.90486666666655</v>
      </c>
    </row>
    <row r="108" spans="1:6" x14ac:dyDescent="0.15">
      <c r="A108" s="8">
        <v>45983</v>
      </c>
      <c r="B108" s="7" t="s">
        <v>143</v>
      </c>
      <c r="C108" s="7" t="s">
        <v>131</v>
      </c>
      <c r="D108" s="7">
        <v>4926.3350000000009</v>
      </c>
      <c r="E108" s="7">
        <v>208</v>
      </c>
      <c r="F108" s="18">
        <f t="shared" si="10"/>
        <v>164.21116666666668</v>
      </c>
    </row>
    <row r="109" spans="1:6" x14ac:dyDescent="0.15">
      <c r="A109" s="8">
        <v>45984</v>
      </c>
      <c r="B109" s="7" t="s">
        <v>145</v>
      </c>
      <c r="C109" s="7" t="s">
        <v>167</v>
      </c>
      <c r="D109" s="7">
        <v>4865.5689999999995</v>
      </c>
      <c r="E109" s="7">
        <v>175</v>
      </c>
      <c r="F109" s="18">
        <f t="shared" si="10"/>
        <v>162.18563333333333</v>
      </c>
    </row>
    <row r="110" spans="1:6" x14ac:dyDescent="0.15">
      <c r="A110" s="8">
        <v>45985</v>
      </c>
      <c r="B110" s="7" t="s">
        <v>145</v>
      </c>
      <c r="C110" s="7" t="s">
        <v>138</v>
      </c>
      <c r="D110" s="7">
        <v>4853.6980000000021</v>
      </c>
      <c r="E110" s="7">
        <v>190</v>
      </c>
      <c r="F110" s="18">
        <f t="shared" si="10"/>
        <v>161.78993333333341</v>
      </c>
    </row>
    <row r="111" spans="1:6" x14ac:dyDescent="0.15">
      <c r="A111" s="8">
        <v>45986</v>
      </c>
      <c r="B111" s="7" t="s">
        <v>145</v>
      </c>
      <c r="C111" s="7" t="s">
        <v>131</v>
      </c>
      <c r="D111" s="7">
        <v>4829.3449999999993</v>
      </c>
      <c r="E111" s="7">
        <v>154</v>
      </c>
      <c r="F111" s="18">
        <f t="shared" si="10"/>
        <v>160.97816666666665</v>
      </c>
    </row>
    <row r="112" spans="1:6" x14ac:dyDescent="0.15">
      <c r="A112" s="8">
        <v>45987</v>
      </c>
      <c r="B112" s="7" t="s">
        <v>145</v>
      </c>
      <c r="C112" s="7" t="s">
        <v>156</v>
      </c>
      <c r="D112" s="7">
        <v>4741.9499999999962</v>
      </c>
      <c r="E112" s="7">
        <v>150</v>
      </c>
      <c r="F112" s="18">
        <f t="shared" si="10"/>
        <v>158.06499999999988</v>
      </c>
    </row>
    <row r="113" spans="1:6" x14ac:dyDescent="0.15">
      <c r="A113" s="8">
        <v>45988</v>
      </c>
      <c r="B113" s="7" t="s">
        <v>145</v>
      </c>
      <c r="C113" s="7" t="s">
        <v>141</v>
      </c>
      <c r="D113" s="7">
        <v>4618.4680000000008</v>
      </c>
      <c r="E113" s="7">
        <v>137</v>
      </c>
      <c r="F113" s="18">
        <f t="shared" si="10"/>
        <v>153.94893333333337</v>
      </c>
    </row>
    <row r="114" spans="1:6" x14ac:dyDescent="0.15">
      <c r="A114" s="8">
        <v>45989</v>
      </c>
      <c r="B114" s="7" t="s">
        <v>169</v>
      </c>
      <c r="C114" s="7" t="s">
        <v>135</v>
      </c>
      <c r="D114" s="7">
        <v>4542.9400000000023</v>
      </c>
      <c r="E114" s="7">
        <v>189</v>
      </c>
      <c r="F114" s="18">
        <f t="shared" si="10"/>
        <v>151.43133333333341</v>
      </c>
    </row>
    <row r="115" spans="1:6" x14ac:dyDescent="0.15">
      <c r="A115" s="8">
        <v>45990</v>
      </c>
      <c r="B115" s="7" t="s">
        <v>145</v>
      </c>
      <c r="C115" s="7" t="s">
        <v>135</v>
      </c>
      <c r="D115" s="7">
        <v>4398.166000000002</v>
      </c>
      <c r="E115" s="7">
        <v>170</v>
      </c>
      <c r="F115" s="18">
        <f t="shared" si="10"/>
        <v>146.6055333333334</v>
      </c>
    </row>
    <row r="116" spans="1:6" x14ac:dyDescent="0.15">
      <c r="A116" s="8">
        <v>45991</v>
      </c>
      <c r="B116" s="7" t="s">
        <v>143</v>
      </c>
      <c r="C116" s="7" t="s">
        <v>140</v>
      </c>
      <c r="D116" s="7">
        <v>4293.5199999999995</v>
      </c>
      <c r="E116" s="7">
        <v>167</v>
      </c>
      <c r="F116" s="18">
        <f t="shared" si="10"/>
        <v>143.11733333333331</v>
      </c>
    </row>
    <row r="117" spans="1:6" x14ac:dyDescent="0.15">
      <c r="A117" s="8">
        <v>45962</v>
      </c>
      <c r="B117" s="7" t="s">
        <v>145</v>
      </c>
      <c r="C117" s="7" t="s">
        <v>130</v>
      </c>
      <c r="D117" s="7">
        <v>4191.5629999999992</v>
      </c>
      <c r="E117" s="7">
        <v>122</v>
      </c>
      <c r="F117" s="18">
        <f t="shared" si="10"/>
        <v>139.71876666666665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149"/>
  <sheetViews>
    <sheetView topLeftCell="A128" workbookViewId="0">
      <selection activeCell="P147" sqref="P147"/>
    </sheetView>
  </sheetViews>
  <sheetFormatPr defaultRowHeight="13.5" x14ac:dyDescent="0.15"/>
  <cols>
    <col min="1" max="1" width="13.375" customWidth="1"/>
    <col min="2" max="2" width="14.75" customWidth="1"/>
    <col min="3" max="3" width="16.625" style="21" customWidth="1"/>
  </cols>
  <sheetData>
    <row r="1" spans="1:3" x14ac:dyDescent="0.15">
      <c r="A1" s="9" t="s">
        <v>101</v>
      </c>
      <c r="B1" s="1" t="s">
        <v>116</v>
      </c>
      <c r="C1" s="15" t="s">
        <v>103</v>
      </c>
    </row>
    <row r="2" spans="1:3" x14ac:dyDescent="0.15">
      <c r="A2" s="9">
        <v>45901</v>
      </c>
      <c r="B2" s="1" t="s">
        <v>117</v>
      </c>
      <c r="C2" s="15">
        <v>54939.295000000013</v>
      </c>
    </row>
    <row r="3" spans="1:3" x14ac:dyDescent="0.15">
      <c r="A3" s="9">
        <v>45902</v>
      </c>
      <c r="B3" s="1" t="s">
        <v>118</v>
      </c>
      <c r="C3" s="15">
        <v>24536.197000000018</v>
      </c>
    </row>
    <row r="4" spans="1:3" x14ac:dyDescent="0.15">
      <c r="A4" s="9">
        <v>45903</v>
      </c>
      <c r="B4" s="1" t="s">
        <v>120</v>
      </c>
      <c r="C4" s="15">
        <v>28528.709999999988</v>
      </c>
    </row>
    <row r="5" spans="1:3" x14ac:dyDescent="0.15">
      <c r="A5" s="9">
        <v>45904</v>
      </c>
      <c r="B5" s="1" t="s">
        <v>119</v>
      </c>
      <c r="C5" s="15">
        <v>10725.66499999999</v>
      </c>
    </row>
    <row r="6" spans="1:3" x14ac:dyDescent="0.15">
      <c r="A6" s="9">
        <v>45905</v>
      </c>
      <c r="B6" s="1" t="s">
        <v>109</v>
      </c>
      <c r="C6" s="15">
        <v>68032.578000000038</v>
      </c>
    </row>
    <row r="7" spans="1:3" x14ac:dyDescent="0.15">
      <c r="A7" s="9">
        <v>45907</v>
      </c>
      <c r="B7" s="1" t="s">
        <v>112</v>
      </c>
      <c r="C7" s="15">
        <v>66778.129000000015</v>
      </c>
    </row>
    <row r="8" spans="1:3" x14ac:dyDescent="0.15">
      <c r="A8" s="9">
        <v>45908</v>
      </c>
      <c r="B8" s="1" t="s">
        <v>148</v>
      </c>
      <c r="C8" s="15">
        <v>178412.28999999992</v>
      </c>
    </row>
    <row r="9" spans="1:3" x14ac:dyDescent="0.15">
      <c r="A9" s="9">
        <v>45909</v>
      </c>
      <c r="B9" s="1" t="s">
        <v>113</v>
      </c>
      <c r="C9" s="15">
        <v>4885.5640000000021</v>
      </c>
    </row>
    <row r="10" spans="1:3" x14ac:dyDescent="0.15">
      <c r="A10" s="9">
        <v>45910</v>
      </c>
      <c r="B10" s="1" t="s">
        <v>111</v>
      </c>
      <c r="C10" s="15">
        <v>404.01500000000004</v>
      </c>
    </row>
    <row r="11" spans="1:3" x14ac:dyDescent="0.15">
      <c r="A11" s="9">
        <v>45911</v>
      </c>
      <c r="B11" s="7" t="s">
        <v>110</v>
      </c>
      <c r="C11" s="14">
        <v>10031.285000000007</v>
      </c>
    </row>
    <row r="12" spans="1:3" x14ac:dyDescent="0.15">
      <c r="A12" s="9">
        <v>45912</v>
      </c>
      <c r="B12" s="7" t="s">
        <v>107</v>
      </c>
      <c r="C12" s="14">
        <v>556.14099999999996</v>
      </c>
    </row>
    <row r="13" spans="1:3" x14ac:dyDescent="0.15">
      <c r="A13" s="9">
        <v>45913</v>
      </c>
      <c r="B13" s="7" t="s">
        <v>108</v>
      </c>
      <c r="C13" s="14">
        <v>50.697999999999993</v>
      </c>
    </row>
    <row r="14" spans="1:3" x14ac:dyDescent="0.15">
      <c r="A14" s="9">
        <v>45883</v>
      </c>
      <c r="B14" s="1" t="s">
        <v>117</v>
      </c>
      <c r="C14" s="20">
        <v>75524.076000000205</v>
      </c>
    </row>
    <row r="15" spans="1:3" x14ac:dyDescent="0.15">
      <c r="A15" s="9">
        <v>45884</v>
      </c>
      <c r="B15" s="1" t="s">
        <v>118</v>
      </c>
      <c r="C15" s="20">
        <v>28101.525999999994</v>
      </c>
    </row>
    <row r="16" spans="1:3" x14ac:dyDescent="0.15">
      <c r="A16" s="9">
        <v>45885</v>
      </c>
      <c r="B16" s="13" t="s">
        <v>149</v>
      </c>
      <c r="C16" s="20">
        <v>34219.557000000008</v>
      </c>
    </row>
    <row r="17" spans="1:3" x14ac:dyDescent="0.15">
      <c r="A17" s="9">
        <v>45886</v>
      </c>
      <c r="B17" s="1" t="s">
        <v>119</v>
      </c>
      <c r="C17" s="15">
        <v>11258.058999999999</v>
      </c>
    </row>
    <row r="18" spans="1:3" x14ac:dyDescent="0.15">
      <c r="A18" s="9">
        <v>45887</v>
      </c>
      <c r="B18" s="1" t="s">
        <v>109</v>
      </c>
      <c r="C18" s="15">
        <v>86036.677999999796</v>
      </c>
    </row>
    <row r="19" spans="1:3" x14ac:dyDescent="0.15">
      <c r="A19" s="9">
        <v>45888</v>
      </c>
      <c r="B19" s="1" t="s">
        <v>112</v>
      </c>
      <c r="C19" s="15">
        <v>60828.45600000002</v>
      </c>
    </row>
    <row r="20" spans="1:3" x14ac:dyDescent="0.15">
      <c r="A20" s="9">
        <v>45889</v>
      </c>
      <c r="B20" s="1" t="s">
        <v>111</v>
      </c>
      <c r="C20" s="15">
        <v>10574.231000000002</v>
      </c>
    </row>
    <row r="21" spans="1:3" x14ac:dyDescent="0.15">
      <c r="A21" s="9">
        <v>45890</v>
      </c>
      <c r="B21" s="1" t="s">
        <v>150</v>
      </c>
      <c r="C21" s="15">
        <v>137126.10099999967</v>
      </c>
    </row>
    <row r="22" spans="1:3" x14ac:dyDescent="0.15">
      <c r="A22" s="9">
        <v>45891</v>
      </c>
      <c r="B22" s="1" t="s">
        <v>113</v>
      </c>
      <c r="C22" s="15">
        <v>6191.416000000002</v>
      </c>
    </row>
    <row r="23" spans="1:3" x14ac:dyDescent="0.15">
      <c r="A23" s="9">
        <v>45892</v>
      </c>
      <c r="B23" s="1" t="s">
        <v>151</v>
      </c>
      <c r="C23" s="15">
        <v>60487.229999999967</v>
      </c>
    </row>
    <row r="24" spans="1:3" x14ac:dyDescent="0.15">
      <c r="A24" s="9">
        <v>45893</v>
      </c>
      <c r="B24" s="1" t="s">
        <v>110</v>
      </c>
      <c r="C24" s="15">
        <v>11403.327999999996</v>
      </c>
    </row>
    <row r="25" spans="1:3" x14ac:dyDescent="0.15">
      <c r="A25" s="9">
        <v>45894</v>
      </c>
      <c r="B25" s="1" t="s">
        <v>107</v>
      </c>
      <c r="C25" s="15">
        <v>547.15800000000002</v>
      </c>
    </row>
    <row r="26" spans="1:3" x14ac:dyDescent="0.15">
      <c r="A26" s="9">
        <v>45895</v>
      </c>
      <c r="B26" s="1" t="s">
        <v>108</v>
      </c>
      <c r="C26" s="15">
        <v>118.032</v>
      </c>
    </row>
    <row r="27" spans="1:3" x14ac:dyDescent="0.15">
      <c r="A27" s="9">
        <v>45896</v>
      </c>
      <c r="B27" s="1" t="s">
        <v>152</v>
      </c>
      <c r="C27" s="15">
        <v>19.899000000000001</v>
      </c>
    </row>
    <row r="28" spans="1:3" x14ac:dyDescent="0.15">
      <c r="A28" s="9">
        <v>45866</v>
      </c>
      <c r="B28" s="1" t="s">
        <v>117</v>
      </c>
      <c r="C28" s="15">
        <v>82285.824999999837</v>
      </c>
    </row>
    <row r="29" spans="1:3" x14ac:dyDescent="0.15">
      <c r="A29" s="9">
        <v>45866</v>
      </c>
      <c r="B29" s="1" t="s">
        <v>118</v>
      </c>
      <c r="C29" s="15">
        <v>34842.363000000005</v>
      </c>
    </row>
    <row r="30" spans="1:3" x14ac:dyDescent="0.15">
      <c r="A30" s="9">
        <v>45866</v>
      </c>
      <c r="B30" s="1" t="s">
        <v>149</v>
      </c>
      <c r="C30" s="15">
        <v>38487.192999999948</v>
      </c>
    </row>
    <row r="31" spans="1:3" x14ac:dyDescent="0.15">
      <c r="A31" s="9">
        <v>45866</v>
      </c>
      <c r="B31" s="1" t="s">
        <v>119</v>
      </c>
      <c r="C31" s="15">
        <v>14677.756999999994</v>
      </c>
    </row>
    <row r="32" spans="1:3" x14ac:dyDescent="0.15">
      <c r="A32" s="9">
        <v>45866</v>
      </c>
      <c r="B32" s="1" t="s">
        <v>150</v>
      </c>
      <c r="C32" s="15">
        <v>139046.67800000022</v>
      </c>
    </row>
    <row r="33" spans="1:3" x14ac:dyDescent="0.15">
      <c r="A33" s="9">
        <v>45866</v>
      </c>
      <c r="B33" s="1" t="s">
        <v>151</v>
      </c>
      <c r="C33" s="15">
        <v>47605.84699999998</v>
      </c>
    </row>
    <row r="34" spans="1:3" x14ac:dyDescent="0.15">
      <c r="A34" s="9">
        <v>45866</v>
      </c>
      <c r="B34" s="1" t="s">
        <v>109</v>
      </c>
      <c r="C34" s="15">
        <v>85729.513999999908</v>
      </c>
    </row>
    <row r="35" spans="1:3" x14ac:dyDescent="0.15">
      <c r="A35" s="9">
        <v>45866</v>
      </c>
      <c r="B35" s="1" t="s">
        <v>112</v>
      </c>
      <c r="C35" s="15">
        <v>59763.048999999912</v>
      </c>
    </row>
    <row r="36" spans="1:3" x14ac:dyDescent="0.15">
      <c r="A36" s="9">
        <v>45866</v>
      </c>
      <c r="B36" s="1" t="s">
        <v>111</v>
      </c>
      <c r="C36" s="15">
        <v>30963.34499999999</v>
      </c>
    </row>
    <row r="37" spans="1:3" x14ac:dyDescent="0.15">
      <c r="A37" s="9">
        <v>45866</v>
      </c>
      <c r="B37" s="1" t="s">
        <v>110</v>
      </c>
      <c r="C37" s="15">
        <v>6672.4420000000055</v>
      </c>
    </row>
    <row r="38" spans="1:3" x14ac:dyDescent="0.15">
      <c r="A38" s="9">
        <v>45866</v>
      </c>
      <c r="B38" s="1" t="s">
        <v>113</v>
      </c>
      <c r="C38" s="15">
        <v>5270.327000000002</v>
      </c>
    </row>
    <row r="39" spans="1:3" x14ac:dyDescent="0.15">
      <c r="A39" s="9">
        <v>45866</v>
      </c>
      <c r="B39" s="1" t="s">
        <v>107</v>
      </c>
      <c r="C39" s="15">
        <v>1514.5620000000006</v>
      </c>
    </row>
    <row r="40" spans="1:3" x14ac:dyDescent="0.15">
      <c r="A40" s="9">
        <v>45866</v>
      </c>
      <c r="B40" s="1" t="s">
        <v>108</v>
      </c>
      <c r="C40" s="15">
        <v>167.74100000000001</v>
      </c>
    </row>
    <row r="41" spans="1:3" x14ac:dyDescent="0.15">
      <c r="A41" s="9">
        <v>45866</v>
      </c>
      <c r="B41" s="1" t="s">
        <v>152</v>
      </c>
      <c r="C41" s="15">
        <v>39.795000000000002</v>
      </c>
    </row>
    <row r="42" spans="1:3" x14ac:dyDescent="0.15">
      <c r="A42" s="9">
        <v>45866</v>
      </c>
      <c r="B42" s="1" t="s">
        <v>153</v>
      </c>
      <c r="C42" s="15">
        <v>14.22</v>
      </c>
    </row>
    <row r="43" spans="1:3" x14ac:dyDescent="0.15">
      <c r="A43" s="9">
        <v>45837</v>
      </c>
      <c r="B43" s="1" t="s">
        <v>117</v>
      </c>
      <c r="C43" s="15">
        <v>74735.879000000044</v>
      </c>
    </row>
    <row r="44" spans="1:3" x14ac:dyDescent="0.15">
      <c r="A44" s="9">
        <v>45837</v>
      </c>
      <c r="B44" s="1" t="s">
        <v>118</v>
      </c>
      <c r="C44" s="15">
        <v>28853.434000000001</v>
      </c>
    </row>
    <row r="45" spans="1:3" x14ac:dyDescent="0.15">
      <c r="A45" s="9">
        <v>45837</v>
      </c>
      <c r="B45" s="1" t="s">
        <v>149</v>
      </c>
      <c r="C45" s="15">
        <v>21278.684999999998</v>
      </c>
    </row>
    <row r="46" spans="1:3" x14ac:dyDescent="0.15">
      <c r="A46" s="9">
        <v>45837</v>
      </c>
      <c r="B46" s="1" t="s">
        <v>119</v>
      </c>
      <c r="C46" s="15">
        <v>12208.985000000002</v>
      </c>
    </row>
    <row r="47" spans="1:3" x14ac:dyDescent="0.15">
      <c r="A47" s="9">
        <v>45837</v>
      </c>
      <c r="B47" s="1" t="s">
        <v>111</v>
      </c>
      <c r="C47" s="15">
        <v>1131.3730000000003</v>
      </c>
    </row>
    <row r="48" spans="1:3" x14ac:dyDescent="0.15">
      <c r="A48" s="9">
        <v>45837</v>
      </c>
      <c r="B48" s="1" t="s">
        <v>109</v>
      </c>
      <c r="C48" s="15">
        <v>70434.532000000079</v>
      </c>
    </row>
    <row r="49" spans="1:3" x14ac:dyDescent="0.15">
      <c r="A49" s="9">
        <v>45837</v>
      </c>
      <c r="B49" s="1" t="s">
        <v>150</v>
      </c>
      <c r="C49" s="15">
        <v>127205.59499999997</v>
      </c>
    </row>
    <row r="50" spans="1:3" x14ac:dyDescent="0.15">
      <c r="A50" s="9">
        <v>45837</v>
      </c>
      <c r="B50" s="1" t="s">
        <v>113</v>
      </c>
      <c r="C50" s="15">
        <v>4115.4610000000002</v>
      </c>
    </row>
    <row r="51" spans="1:3" x14ac:dyDescent="0.15">
      <c r="A51" s="9">
        <v>45837</v>
      </c>
      <c r="B51" s="1" t="s">
        <v>110</v>
      </c>
      <c r="C51" s="15">
        <v>6092.369999999999</v>
      </c>
    </row>
    <row r="52" spans="1:3" x14ac:dyDescent="0.15">
      <c r="A52" s="9">
        <v>45837</v>
      </c>
      <c r="B52" s="1" t="s">
        <v>151</v>
      </c>
      <c r="C52" s="15">
        <v>57548.287000000048</v>
      </c>
    </row>
    <row r="53" spans="1:3" x14ac:dyDescent="0.15">
      <c r="A53" s="9">
        <v>45837</v>
      </c>
      <c r="B53" s="1" t="s">
        <v>112</v>
      </c>
      <c r="C53" s="15">
        <v>54305.242999999937</v>
      </c>
    </row>
    <row r="54" spans="1:3" x14ac:dyDescent="0.15">
      <c r="A54" s="9">
        <v>45837</v>
      </c>
      <c r="B54" s="1" t="s">
        <v>107</v>
      </c>
      <c r="C54" s="15">
        <v>2399.8160000000003</v>
      </c>
    </row>
    <row r="55" spans="1:3" x14ac:dyDescent="0.15">
      <c r="A55" s="9">
        <v>45837</v>
      </c>
      <c r="B55" s="1" t="s">
        <v>155</v>
      </c>
      <c r="C55" s="15">
        <v>82.6</v>
      </c>
    </row>
    <row r="56" spans="1:3" x14ac:dyDescent="0.15">
      <c r="A56" s="9">
        <v>45837</v>
      </c>
      <c r="B56" s="1" t="s">
        <v>108</v>
      </c>
      <c r="C56" s="15">
        <v>207.59899999999999</v>
      </c>
    </row>
    <row r="57" spans="1:3" x14ac:dyDescent="0.15">
      <c r="A57" s="22">
        <v>45780</v>
      </c>
      <c r="B57" s="7" t="s">
        <v>117</v>
      </c>
      <c r="C57" s="14">
        <v>82561.000000000029</v>
      </c>
    </row>
    <row r="58" spans="1:3" x14ac:dyDescent="0.15">
      <c r="A58" s="22">
        <v>45781</v>
      </c>
      <c r="B58" s="7" t="s">
        <v>118</v>
      </c>
      <c r="C58" s="14">
        <v>26997.302999999964</v>
      </c>
    </row>
    <row r="59" spans="1:3" x14ac:dyDescent="0.15">
      <c r="A59" s="22">
        <v>45782</v>
      </c>
      <c r="B59" s="7" t="s">
        <v>149</v>
      </c>
      <c r="C59" s="14">
        <v>19158.298000000024</v>
      </c>
    </row>
    <row r="60" spans="1:3" x14ac:dyDescent="0.15">
      <c r="A60" s="22">
        <v>45783</v>
      </c>
      <c r="B60" s="7" t="s">
        <v>119</v>
      </c>
      <c r="C60" s="14">
        <v>12829.644</v>
      </c>
    </row>
    <row r="61" spans="1:3" x14ac:dyDescent="0.15">
      <c r="A61" s="22">
        <v>45784</v>
      </c>
      <c r="B61" s="7" t="s">
        <v>109</v>
      </c>
      <c r="C61" s="14">
        <v>59672.267999999887</v>
      </c>
    </row>
    <row r="62" spans="1:3" x14ac:dyDescent="0.15">
      <c r="A62" s="22">
        <v>45785</v>
      </c>
      <c r="B62" s="7" t="s">
        <v>111</v>
      </c>
      <c r="C62" s="14">
        <v>1694.8080000000007</v>
      </c>
    </row>
    <row r="63" spans="1:3" x14ac:dyDescent="0.15">
      <c r="A63" s="22">
        <v>45786</v>
      </c>
      <c r="B63" s="7" t="s">
        <v>151</v>
      </c>
      <c r="C63" s="14">
        <v>80509.540000000037</v>
      </c>
    </row>
    <row r="64" spans="1:3" x14ac:dyDescent="0.15">
      <c r="A64" s="22">
        <v>45787</v>
      </c>
      <c r="B64" s="7" t="s">
        <v>150</v>
      </c>
      <c r="C64" s="14">
        <v>122973.11900000028</v>
      </c>
    </row>
    <row r="65" spans="1:3" x14ac:dyDescent="0.15">
      <c r="A65" s="22">
        <v>45788</v>
      </c>
      <c r="B65" s="7" t="s">
        <v>112</v>
      </c>
      <c r="C65" s="14">
        <v>49760.569999999963</v>
      </c>
    </row>
    <row r="66" spans="1:3" x14ac:dyDescent="0.15">
      <c r="A66" s="22">
        <v>45789</v>
      </c>
      <c r="B66" s="7" t="s">
        <v>110</v>
      </c>
      <c r="C66" s="14">
        <v>6391.4669999999996</v>
      </c>
    </row>
    <row r="67" spans="1:3" x14ac:dyDescent="0.15">
      <c r="A67" s="22">
        <v>45790</v>
      </c>
      <c r="B67" s="7" t="s">
        <v>113</v>
      </c>
      <c r="C67" s="14">
        <v>4119.3390000000018</v>
      </c>
    </row>
    <row r="68" spans="1:3" x14ac:dyDescent="0.15">
      <c r="A68" s="22">
        <v>45791</v>
      </c>
      <c r="B68" s="7" t="s">
        <v>108</v>
      </c>
      <c r="C68" s="14">
        <v>586.06499999999994</v>
      </c>
    </row>
    <row r="69" spans="1:3" x14ac:dyDescent="0.15">
      <c r="A69" s="22">
        <v>45792</v>
      </c>
      <c r="B69" s="7" t="s">
        <v>107</v>
      </c>
      <c r="C69" s="14">
        <v>2343.2399999999998</v>
      </c>
    </row>
    <row r="70" spans="1:3" x14ac:dyDescent="0.15">
      <c r="A70" s="22">
        <v>45763</v>
      </c>
      <c r="B70" s="7" t="s">
        <v>117</v>
      </c>
      <c r="C70" s="14">
        <v>77323.399000000005</v>
      </c>
    </row>
    <row r="71" spans="1:3" x14ac:dyDescent="0.15">
      <c r="A71" s="22">
        <v>45763</v>
      </c>
      <c r="B71" s="7" t="s">
        <v>118</v>
      </c>
      <c r="C71" s="14">
        <v>26811.640999999974</v>
      </c>
    </row>
    <row r="72" spans="1:3" x14ac:dyDescent="0.15">
      <c r="A72" s="22">
        <v>45763</v>
      </c>
      <c r="B72" s="7" t="s">
        <v>149</v>
      </c>
      <c r="C72" s="14">
        <v>17376.701000000012</v>
      </c>
    </row>
    <row r="73" spans="1:3" x14ac:dyDescent="0.15">
      <c r="A73" s="22">
        <v>45763</v>
      </c>
      <c r="B73" s="7" t="s">
        <v>119</v>
      </c>
      <c r="C73" s="14">
        <v>11892.883000000003</v>
      </c>
    </row>
    <row r="74" spans="1:3" x14ac:dyDescent="0.15">
      <c r="A74" s="22">
        <v>45763</v>
      </c>
      <c r="B74" s="7" t="s">
        <v>109</v>
      </c>
      <c r="C74" s="14">
        <v>60037.924999999967</v>
      </c>
    </row>
    <row r="75" spans="1:3" x14ac:dyDescent="0.15">
      <c r="A75" s="22">
        <v>45763</v>
      </c>
      <c r="B75" s="7" t="s">
        <v>151</v>
      </c>
      <c r="C75" s="14">
        <v>62652.252000000015</v>
      </c>
    </row>
    <row r="76" spans="1:3" x14ac:dyDescent="0.15">
      <c r="A76" s="22">
        <v>45763</v>
      </c>
      <c r="B76" s="7" t="s">
        <v>150</v>
      </c>
      <c r="C76" s="14">
        <v>118933.97500000003</v>
      </c>
    </row>
    <row r="77" spans="1:3" x14ac:dyDescent="0.15">
      <c r="A77" s="22">
        <v>45763</v>
      </c>
      <c r="B77" s="7" t="s">
        <v>112</v>
      </c>
      <c r="C77" s="14">
        <v>52076.847999999998</v>
      </c>
    </row>
    <row r="78" spans="1:3" x14ac:dyDescent="0.15">
      <c r="A78" s="22">
        <v>45763</v>
      </c>
      <c r="B78" s="7" t="s">
        <v>110</v>
      </c>
      <c r="C78" s="14">
        <v>7854.1919999999991</v>
      </c>
    </row>
    <row r="79" spans="1:3" x14ac:dyDescent="0.15">
      <c r="A79" s="22">
        <v>45763</v>
      </c>
      <c r="B79" s="7" t="s">
        <v>111</v>
      </c>
      <c r="C79" s="14">
        <v>1076.9669999999999</v>
      </c>
    </row>
    <row r="80" spans="1:3" x14ac:dyDescent="0.15">
      <c r="A80" s="22">
        <v>45763</v>
      </c>
      <c r="B80" s="7" t="s">
        <v>113</v>
      </c>
      <c r="C80" s="14">
        <v>4204.3939999999993</v>
      </c>
    </row>
    <row r="81" spans="1:3" x14ac:dyDescent="0.15">
      <c r="A81" s="22">
        <v>45763</v>
      </c>
      <c r="B81" s="7" t="s">
        <v>108</v>
      </c>
      <c r="C81" s="14">
        <v>332.9969999999999</v>
      </c>
    </row>
    <row r="82" spans="1:3" x14ac:dyDescent="0.15">
      <c r="A82" s="22">
        <v>45763</v>
      </c>
      <c r="B82" s="7" t="s">
        <v>107</v>
      </c>
      <c r="C82" s="14">
        <v>694.59800000000007</v>
      </c>
    </row>
    <row r="83" spans="1:3" x14ac:dyDescent="0.15">
      <c r="A83" s="22">
        <v>45733</v>
      </c>
      <c r="B83" s="7" t="s">
        <v>117</v>
      </c>
      <c r="C83" s="14">
        <v>81087.636999999857</v>
      </c>
    </row>
    <row r="84" spans="1:3" x14ac:dyDescent="0.15">
      <c r="A84" s="22">
        <v>45733</v>
      </c>
      <c r="B84" s="7" t="s">
        <v>118</v>
      </c>
      <c r="C84" s="14">
        <v>30293.000999999975</v>
      </c>
    </row>
    <row r="85" spans="1:3" x14ac:dyDescent="0.15">
      <c r="A85" s="22">
        <v>45733</v>
      </c>
      <c r="B85" s="7" t="s">
        <v>149</v>
      </c>
      <c r="C85" s="14">
        <v>20508.054000000018</v>
      </c>
    </row>
    <row r="86" spans="1:3" x14ac:dyDescent="0.15">
      <c r="A86" s="22">
        <v>45733</v>
      </c>
      <c r="B86" s="7" t="s">
        <v>119</v>
      </c>
      <c r="C86" s="14">
        <v>12886.388999999996</v>
      </c>
    </row>
    <row r="87" spans="1:3" x14ac:dyDescent="0.15">
      <c r="A87" s="22">
        <v>45733</v>
      </c>
      <c r="B87" s="7" t="s">
        <v>151</v>
      </c>
      <c r="C87" s="14">
        <v>47808.189000000028</v>
      </c>
    </row>
    <row r="88" spans="1:3" x14ac:dyDescent="0.15">
      <c r="A88" s="22">
        <v>45733</v>
      </c>
      <c r="B88" s="7" t="s">
        <v>112</v>
      </c>
      <c r="C88" s="14">
        <v>63484.444000000156</v>
      </c>
    </row>
    <row r="89" spans="1:3" x14ac:dyDescent="0.15">
      <c r="A89" s="22">
        <v>45733</v>
      </c>
      <c r="B89" s="7" t="s">
        <v>109</v>
      </c>
      <c r="C89" s="14">
        <v>74947.046999999991</v>
      </c>
    </row>
    <row r="90" spans="1:3" x14ac:dyDescent="0.15">
      <c r="A90" s="22">
        <v>45733</v>
      </c>
      <c r="B90" s="7" t="s">
        <v>150</v>
      </c>
      <c r="C90" s="14">
        <v>139402.62799999976</v>
      </c>
    </row>
    <row r="91" spans="1:3" x14ac:dyDescent="0.15">
      <c r="A91" s="22">
        <v>45733</v>
      </c>
      <c r="B91" s="7" t="s">
        <v>111</v>
      </c>
      <c r="C91" s="14">
        <v>820.74800000000005</v>
      </c>
    </row>
    <row r="92" spans="1:3" x14ac:dyDescent="0.15">
      <c r="A92" s="22">
        <v>45733</v>
      </c>
      <c r="B92" s="7" t="s">
        <v>113</v>
      </c>
      <c r="C92" s="14">
        <v>4958.9290000000028</v>
      </c>
    </row>
    <row r="93" spans="1:3" x14ac:dyDescent="0.15">
      <c r="A93" s="22">
        <v>45733</v>
      </c>
      <c r="B93" s="7" t="s">
        <v>110</v>
      </c>
      <c r="C93" s="14">
        <v>18362.708999999999</v>
      </c>
    </row>
    <row r="94" spans="1:3" x14ac:dyDescent="0.15">
      <c r="A94" s="22">
        <v>45733</v>
      </c>
      <c r="B94" s="7" t="s">
        <v>107</v>
      </c>
      <c r="C94" s="14">
        <v>376.26999999999992</v>
      </c>
    </row>
    <row r="95" spans="1:3" x14ac:dyDescent="0.15">
      <c r="A95" s="22">
        <v>45733</v>
      </c>
      <c r="B95" s="7" t="s">
        <v>108</v>
      </c>
      <c r="C95" s="14">
        <v>127.97399999999999</v>
      </c>
    </row>
    <row r="96" spans="1:3" x14ac:dyDescent="0.15">
      <c r="A96" s="22">
        <v>45706</v>
      </c>
      <c r="B96" s="7" t="s">
        <v>117</v>
      </c>
      <c r="C96" s="14">
        <v>85175.902999999831</v>
      </c>
    </row>
    <row r="97" spans="1:3" x14ac:dyDescent="0.15">
      <c r="A97" s="22">
        <v>45706</v>
      </c>
      <c r="B97" s="7" t="s">
        <v>118</v>
      </c>
      <c r="C97" s="14">
        <v>24725.937999999966</v>
      </c>
    </row>
    <row r="98" spans="1:3" x14ac:dyDescent="0.15">
      <c r="A98" s="22">
        <v>45706</v>
      </c>
      <c r="B98" s="7" t="s">
        <v>149</v>
      </c>
      <c r="C98" s="14">
        <v>13398.610000000013</v>
      </c>
    </row>
    <row r="99" spans="1:3" x14ac:dyDescent="0.15">
      <c r="A99" s="22">
        <v>45706</v>
      </c>
      <c r="B99" s="7" t="s">
        <v>119</v>
      </c>
      <c r="C99" s="14">
        <v>13592.306999999997</v>
      </c>
    </row>
    <row r="100" spans="1:3" x14ac:dyDescent="0.15">
      <c r="A100" s="22">
        <v>45706</v>
      </c>
      <c r="B100" s="7" t="s">
        <v>150</v>
      </c>
      <c r="C100" s="14">
        <v>116665.62099999991</v>
      </c>
    </row>
    <row r="101" spans="1:3" x14ac:dyDescent="0.15">
      <c r="A101" s="22">
        <v>45706</v>
      </c>
      <c r="B101" s="7" t="s">
        <v>112</v>
      </c>
      <c r="C101" s="14">
        <v>49292.963999999964</v>
      </c>
    </row>
    <row r="102" spans="1:3" x14ac:dyDescent="0.15">
      <c r="A102" s="22">
        <v>45706</v>
      </c>
      <c r="B102" s="7" t="s">
        <v>109</v>
      </c>
      <c r="C102" s="14">
        <v>71581.923999999955</v>
      </c>
    </row>
    <row r="103" spans="1:3" x14ac:dyDescent="0.15">
      <c r="A103" s="22">
        <v>45706</v>
      </c>
      <c r="B103" s="7" t="s">
        <v>151</v>
      </c>
      <c r="C103" s="14">
        <v>51016.440000000075</v>
      </c>
    </row>
    <row r="104" spans="1:3" x14ac:dyDescent="0.15">
      <c r="A104" s="22">
        <v>45706</v>
      </c>
      <c r="B104" s="7" t="s">
        <v>113</v>
      </c>
      <c r="C104" s="14">
        <v>3946.0460000000012</v>
      </c>
    </row>
    <row r="105" spans="1:3" x14ac:dyDescent="0.15">
      <c r="A105" s="22">
        <v>45706</v>
      </c>
      <c r="B105" s="7" t="s">
        <v>107</v>
      </c>
      <c r="C105" s="14">
        <v>410.91100000000006</v>
      </c>
    </row>
    <row r="106" spans="1:3" x14ac:dyDescent="0.15">
      <c r="A106" s="22">
        <v>45706</v>
      </c>
      <c r="B106" s="7" t="s">
        <v>108</v>
      </c>
      <c r="C106" s="14">
        <v>176.02900000000002</v>
      </c>
    </row>
    <row r="107" spans="1:3" x14ac:dyDescent="0.15">
      <c r="A107" s="22">
        <v>45706</v>
      </c>
      <c r="B107" s="7" t="s">
        <v>110</v>
      </c>
      <c r="C107" s="14">
        <v>18183.478999999996</v>
      </c>
    </row>
    <row r="108" spans="1:3" x14ac:dyDescent="0.15">
      <c r="A108" s="22">
        <v>45706</v>
      </c>
      <c r="B108" s="7" t="s">
        <v>111</v>
      </c>
      <c r="C108" s="14">
        <v>735.39400000000012</v>
      </c>
    </row>
    <row r="109" spans="1:3" x14ac:dyDescent="0.15">
      <c r="A109" s="22">
        <v>45676</v>
      </c>
      <c r="B109" s="7" t="s">
        <v>117</v>
      </c>
      <c r="C109" s="14">
        <v>95155.333999999755</v>
      </c>
    </row>
    <row r="110" spans="1:3" x14ac:dyDescent="0.15">
      <c r="A110" s="22">
        <v>45677</v>
      </c>
      <c r="B110" s="7" t="s">
        <v>118</v>
      </c>
      <c r="C110" s="14">
        <v>23549.002999999986</v>
      </c>
    </row>
    <row r="111" spans="1:3" x14ac:dyDescent="0.15">
      <c r="A111" s="22">
        <v>45678</v>
      </c>
      <c r="B111" s="7" t="s">
        <v>149</v>
      </c>
      <c r="C111" s="14">
        <v>19990.507000000016</v>
      </c>
    </row>
    <row r="112" spans="1:3" x14ac:dyDescent="0.15">
      <c r="A112" s="22">
        <v>45679</v>
      </c>
      <c r="B112" s="7" t="s">
        <v>119</v>
      </c>
      <c r="C112" s="14">
        <v>13440.823000000009</v>
      </c>
    </row>
    <row r="113" spans="1:3" x14ac:dyDescent="0.15">
      <c r="A113" s="22">
        <v>45680</v>
      </c>
      <c r="B113" s="7" t="s">
        <v>150</v>
      </c>
      <c r="C113" s="14">
        <v>122879.18799999973</v>
      </c>
    </row>
    <row r="114" spans="1:3" x14ac:dyDescent="0.15">
      <c r="A114" s="22">
        <v>45681</v>
      </c>
      <c r="B114" s="7" t="s">
        <v>109</v>
      </c>
      <c r="C114" s="14">
        <v>71410.504999999961</v>
      </c>
    </row>
    <row r="115" spans="1:3" x14ac:dyDescent="0.15">
      <c r="A115" s="22">
        <v>45682</v>
      </c>
      <c r="B115" s="7" t="s">
        <v>113</v>
      </c>
      <c r="C115" s="14">
        <v>5113.0519999999997</v>
      </c>
    </row>
    <row r="116" spans="1:3" x14ac:dyDescent="0.15">
      <c r="A116" s="22">
        <v>45683</v>
      </c>
      <c r="B116" s="7" t="s">
        <v>151</v>
      </c>
      <c r="C116" s="14">
        <v>31043.732999999989</v>
      </c>
    </row>
    <row r="117" spans="1:3" x14ac:dyDescent="0.15">
      <c r="A117" s="22">
        <v>45684</v>
      </c>
      <c r="B117" s="7" t="s">
        <v>112</v>
      </c>
      <c r="C117" s="14">
        <v>53867.410999999956</v>
      </c>
    </row>
    <row r="118" spans="1:3" x14ac:dyDescent="0.15">
      <c r="A118" s="22">
        <v>45685</v>
      </c>
      <c r="B118" s="7" t="s">
        <v>110</v>
      </c>
      <c r="C118" s="14">
        <v>25461.305999999975</v>
      </c>
    </row>
    <row r="119" spans="1:3" x14ac:dyDescent="0.15">
      <c r="A119" s="22">
        <v>45686</v>
      </c>
      <c r="B119" s="7" t="s">
        <v>111</v>
      </c>
      <c r="C119" s="14">
        <v>227.227</v>
      </c>
    </row>
    <row r="120" spans="1:3" x14ac:dyDescent="0.15">
      <c r="A120" s="22">
        <v>45687</v>
      </c>
      <c r="B120" s="7" t="s">
        <v>157</v>
      </c>
      <c r="C120" s="14">
        <v>17.64</v>
      </c>
    </row>
    <row r="121" spans="1:3" x14ac:dyDescent="0.15">
      <c r="A121" s="22">
        <v>45660</v>
      </c>
      <c r="B121" s="7" t="s">
        <v>107</v>
      </c>
      <c r="C121" s="14">
        <v>481.72199999999998</v>
      </c>
    </row>
    <row r="122" spans="1:3" x14ac:dyDescent="0.15">
      <c r="A122" s="22">
        <v>45661</v>
      </c>
      <c r="B122" s="7" t="s">
        <v>108</v>
      </c>
      <c r="C122" s="14">
        <v>207.97399999999999</v>
      </c>
    </row>
    <row r="123" spans="1:3" x14ac:dyDescent="0.15">
      <c r="A123" s="9">
        <v>45935</v>
      </c>
      <c r="B123" s="1" t="s">
        <v>117</v>
      </c>
      <c r="C123" s="15">
        <v>54456.730999999963</v>
      </c>
    </row>
    <row r="124" spans="1:3" x14ac:dyDescent="0.15">
      <c r="A124" s="9">
        <v>45936</v>
      </c>
      <c r="B124" s="1" t="s">
        <v>118</v>
      </c>
      <c r="C124" s="15">
        <v>24655.316999999995</v>
      </c>
    </row>
    <row r="125" spans="1:3" x14ac:dyDescent="0.15">
      <c r="A125" s="9">
        <v>45937</v>
      </c>
      <c r="B125" s="1" t="s">
        <v>149</v>
      </c>
      <c r="C125" s="15">
        <v>29006.10300000005</v>
      </c>
    </row>
    <row r="126" spans="1:3" x14ac:dyDescent="0.15">
      <c r="A126" s="9">
        <v>45938</v>
      </c>
      <c r="B126" s="1" t="s">
        <v>119</v>
      </c>
      <c r="C126" s="15">
        <v>9313.190000000006</v>
      </c>
    </row>
    <row r="127" spans="1:3" x14ac:dyDescent="0.15">
      <c r="A127" s="9">
        <v>45939</v>
      </c>
      <c r="B127" s="1" t="s">
        <v>112</v>
      </c>
      <c r="C127" s="15">
        <v>60563.448000000019</v>
      </c>
    </row>
    <row r="128" spans="1:3" x14ac:dyDescent="0.15">
      <c r="A128" s="9">
        <v>45940</v>
      </c>
      <c r="B128" s="1" t="s">
        <v>150</v>
      </c>
      <c r="C128" s="15">
        <v>111316.73399999998</v>
      </c>
    </row>
    <row r="129" spans="1:3" x14ac:dyDescent="0.15">
      <c r="A129" s="9">
        <v>45941</v>
      </c>
      <c r="B129" s="1" t="s">
        <v>109</v>
      </c>
      <c r="C129" s="15">
        <v>68208.707999999955</v>
      </c>
    </row>
    <row r="130" spans="1:3" x14ac:dyDescent="0.15">
      <c r="A130" s="9">
        <v>45942</v>
      </c>
      <c r="B130" s="1" t="s">
        <v>111</v>
      </c>
      <c r="C130" s="15">
        <v>1242.0840000000001</v>
      </c>
    </row>
    <row r="131" spans="1:3" x14ac:dyDescent="0.15">
      <c r="A131" s="9">
        <v>45943</v>
      </c>
      <c r="B131" s="1" t="s">
        <v>151</v>
      </c>
      <c r="C131" s="15">
        <v>57400.995999999963</v>
      </c>
    </row>
    <row r="132" spans="1:3" x14ac:dyDescent="0.15">
      <c r="A132" s="9">
        <v>45944</v>
      </c>
      <c r="B132" s="1" t="s">
        <v>113</v>
      </c>
      <c r="C132" s="15">
        <v>4929.6319999999996</v>
      </c>
    </row>
    <row r="133" spans="1:3" x14ac:dyDescent="0.15">
      <c r="A133" s="9">
        <v>45945</v>
      </c>
      <c r="B133" s="1" t="s">
        <v>108</v>
      </c>
      <c r="C133" s="15">
        <v>135.39400000000001</v>
      </c>
    </row>
    <row r="134" spans="1:3" x14ac:dyDescent="0.15">
      <c r="A134" s="9">
        <v>45946</v>
      </c>
      <c r="B134" s="1" t="s">
        <v>110</v>
      </c>
      <c r="C134" s="15">
        <v>6551.229000000003</v>
      </c>
    </row>
    <row r="135" spans="1:3" x14ac:dyDescent="0.15">
      <c r="A135" s="9">
        <v>45947</v>
      </c>
      <c r="B135" s="1" t="s">
        <v>107</v>
      </c>
      <c r="C135" s="15">
        <v>1348.1559999999999</v>
      </c>
    </row>
    <row r="136" spans="1:3" x14ac:dyDescent="0.15">
      <c r="A136" s="9">
        <v>45979</v>
      </c>
      <c r="B136" s="7" t="s">
        <v>117</v>
      </c>
      <c r="C136" s="14">
        <v>46672.725000000013</v>
      </c>
    </row>
    <row r="137" spans="1:3" x14ac:dyDescent="0.15">
      <c r="A137" s="9">
        <v>45980</v>
      </c>
      <c r="B137" s="7" t="s">
        <v>118</v>
      </c>
      <c r="C137" s="14">
        <v>26550.827000000016</v>
      </c>
    </row>
    <row r="138" spans="1:3" x14ac:dyDescent="0.15">
      <c r="A138" s="9">
        <v>45981</v>
      </c>
      <c r="B138" s="7" t="s">
        <v>149</v>
      </c>
      <c r="C138" s="14">
        <v>29960.102999999977</v>
      </c>
    </row>
    <row r="139" spans="1:3" x14ac:dyDescent="0.15">
      <c r="A139" s="9">
        <v>45982</v>
      </c>
      <c r="B139" s="7" t="s">
        <v>119</v>
      </c>
      <c r="C139" s="14">
        <v>8209.368000000004</v>
      </c>
    </row>
    <row r="140" spans="1:3" x14ac:dyDescent="0.15">
      <c r="A140" s="9">
        <v>45983</v>
      </c>
      <c r="B140" s="7" t="s">
        <v>150</v>
      </c>
      <c r="C140" s="14">
        <v>103808.00500000028</v>
      </c>
    </row>
    <row r="141" spans="1:3" x14ac:dyDescent="0.15">
      <c r="A141" s="9">
        <v>45984</v>
      </c>
      <c r="B141" s="7" t="s">
        <v>109</v>
      </c>
      <c r="C141" s="14">
        <v>64079.183999999979</v>
      </c>
    </row>
    <row r="142" spans="1:3" x14ac:dyDescent="0.15">
      <c r="A142" s="9">
        <v>45985</v>
      </c>
      <c r="B142" s="7" t="s">
        <v>151</v>
      </c>
      <c r="C142" s="14">
        <v>54001.30999999999</v>
      </c>
    </row>
    <row r="143" spans="1:3" x14ac:dyDescent="0.15">
      <c r="A143" s="9">
        <v>45986</v>
      </c>
      <c r="B143" s="7" t="s">
        <v>112</v>
      </c>
      <c r="C143" s="14">
        <v>61041.626999999957</v>
      </c>
    </row>
    <row r="144" spans="1:3" x14ac:dyDescent="0.15">
      <c r="A144" s="9">
        <v>45987</v>
      </c>
      <c r="B144" s="7" t="s">
        <v>113</v>
      </c>
      <c r="C144" s="14">
        <v>3520.4360000000011</v>
      </c>
    </row>
    <row r="145" spans="1:3" x14ac:dyDescent="0.15">
      <c r="A145" s="9">
        <v>45988</v>
      </c>
      <c r="B145" s="7" t="s">
        <v>110</v>
      </c>
      <c r="C145" s="14">
        <v>5509.1930000000002</v>
      </c>
    </row>
    <row r="146" spans="1:3" x14ac:dyDescent="0.15">
      <c r="A146" s="9">
        <v>45989</v>
      </c>
      <c r="B146" s="7" t="s">
        <v>111</v>
      </c>
      <c r="C146" s="14">
        <v>621.23699999999985</v>
      </c>
    </row>
    <row r="147" spans="1:3" x14ac:dyDescent="0.15">
      <c r="A147" s="9">
        <v>45990</v>
      </c>
      <c r="B147" s="7" t="s">
        <v>107</v>
      </c>
      <c r="C147" s="14">
        <v>2326.9060000000009</v>
      </c>
    </row>
    <row r="148" spans="1:3" x14ac:dyDescent="0.15">
      <c r="A148" s="9">
        <v>45991</v>
      </c>
      <c r="B148" s="7" t="s">
        <v>108</v>
      </c>
      <c r="C148" s="14">
        <v>146.976</v>
      </c>
    </row>
    <row r="149" spans="1:3" x14ac:dyDescent="0.15">
      <c r="A149" s="9">
        <v>45992</v>
      </c>
      <c r="B149" s="7" t="s">
        <v>152</v>
      </c>
      <c r="C149" s="14">
        <v>13.464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23"/>
  <sheetViews>
    <sheetView topLeftCell="A13" workbookViewId="0">
      <selection activeCell="D26" sqref="D26"/>
    </sheetView>
  </sheetViews>
  <sheetFormatPr defaultRowHeight="13.5" x14ac:dyDescent="0.15"/>
  <cols>
    <col min="1" max="1" width="8.5" bestFit="1" customWidth="1"/>
    <col min="3" max="3" width="13.375" bestFit="1" customWidth="1"/>
    <col min="4" max="4" width="15.25" bestFit="1" customWidth="1"/>
    <col min="5" max="5" width="13.125" bestFit="1" customWidth="1"/>
  </cols>
  <sheetData>
    <row r="1" spans="1:6" s="2" customFormat="1" ht="25.5" customHeight="1" x14ac:dyDescent="0.15">
      <c r="A1" s="1" t="s">
        <v>100</v>
      </c>
      <c r="B1" s="1" t="s">
        <v>106</v>
      </c>
      <c r="C1" s="1" t="s">
        <v>102</v>
      </c>
      <c r="D1" s="1" t="s">
        <v>3</v>
      </c>
      <c r="E1" s="1" t="s">
        <v>104</v>
      </c>
      <c r="F1" s="1" t="s">
        <v>105</v>
      </c>
    </row>
    <row r="2" spans="1:6" s="2" customFormat="1" ht="25.5" customHeight="1" x14ac:dyDescent="0.15">
      <c r="A2" s="9">
        <v>45901</v>
      </c>
      <c r="B2" s="1" t="s">
        <v>114</v>
      </c>
      <c r="C2" s="1">
        <v>317071.95499999891</v>
      </c>
      <c r="D2" s="1">
        <v>102493.45000000001</v>
      </c>
      <c r="E2" s="1">
        <v>255690.91000000012</v>
      </c>
      <c r="F2" s="1">
        <v>12657</v>
      </c>
    </row>
    <row r="3" spans="1:6" s="2" customFormat="1" ht="25.5" customHeight="1" x14ac:dyDescent="0.15">
      <c r="A3" s="9">
        <v>45902</v>
      </c>
      <c r="B3" s="1" t="s">
        <v>115</v>
      </c>
      <c r="C3" s="1">
        <v>130808.61199999967</v>
      </c>
      <c r="D3" s="1">
        <v>38743.010000000031</v>
      </c>
      <c r="E3" s="1">
        <v>106600.28000000003</v>
      </c>
      <c r="F3" s="1">
        <v>5184</v>
      </c>
    </row>
    <row r="4" spans="1:6" x14ac:dyDescent="0.15">
      <c r="A4" s="9">
        <v>45872</v>
      </c>
      <c r="B4" s="1" t="s">
        <v>114</v>
      </c>
      <c r="C4" s="1">
        <v>381919.94700000284</v>
      </c>
      <c r="D4" s="1">
        <v>123003.68000000024</v>
      </c>
      <c r="E4" s="1">
        <v>205079.24000000127</v>
      </c>
      <c r="F4" s="1">
        <v>14975</v>
      </c>
    </row>
    <row r="5" spans="1:6" x14ac:dyDescent="0.15">
      <c r="A5" s="9">
        <v>45873</v>
      </c>
      <c r="B5" s="1" t="s">
        <v>115</v>
      </c>
      <c r="C5" s="13">
        <v>140515.79999999973</v>
      </c>
      <c r="D5" s="13">
        <v>42349.809999999947</v>
      </c>
      <c r="E5" s="13">
        <v>77575.819999999701</v>
      </c>
      <c r="F5" s="13">
        <v>5459</v>
      </c>
    </row>
    <row r="6" spans="1:6" x14ac:dyDescent="0.15">
      <c r="A6" s="9">
        <v>45843</v>
      </c>
      <c r="B6" s="1" t="s">
        <v>114</v>
      </c>
      <c r="C6" s="1">
        <v>429027.57500000059</v>
      </c>
      <c r="D6" s="1">
        <v>126871.63999999996</v>
      </c>
      <c r="E6" s="1">
        <v>248614.05999999901</v>
      </c>
      <c r="F6" s="1">
        <v>16549</v>
      </c>
    </row>
    <row r="7" spans="1:6" x14ac:dyDescent="0.15">
      <c r="A7" s="9">
        <v>45844</v>
      </c>
      <c r="B7" s="1" t="s">
        <v>115</v>
      </c>
      <c r="C7" s="1">
        <v>118053.08299999978</v>
      </c>
      <c r="D7" s="1">
        <v>32316.920000000009</v>
      </c>
      <c r="E7" s="1">
        <v>70839.999999999913</v>
      </c>
      <c r="F7" s="1">
        <v>4691</v>
      </c>
    </row>
    <row r="8" spans="1:6" x14ac:dyDescent="0.15">
      <c r="A8" s="9">
        <v>45815</v>
      </c>
      <c r="B8" s="7" t="s">
        <v>114</v>
      </c>
      <c r="C8" s="7">
        <v>336926.99200000026</v>
      </c>
      <c r="D8" s="7">
        <v>99290.249999999942</v>
      </c>
      <c r="E8" s="7">
        <v>284642.22999999922</v>
      </c>
      <c r="F8" s="7">
        <v>13180</v>
      </c>
    </row>
    <row r="9" spans="1:6" x14ac:dyDescent="0.15">
      <c r="A9" s="9">
        <v>45816</v>
      </c>
      <c r="B9" s="7" t="s">
        <v>115</v>
      </c>
      <c r="C9" s="7">
        <v>123672.86699999981</v>
      </c>
      <c r="D9" s="7">
        <v>36912.420000000122</v>
      </c>
      <c r="E9" s="7">
        <v>106442.92000000009</v>
      </c>
      <c r="F9" s="7">
        <v>4968</v>
      </c>
    </row>
    <row r="10" spans="1:6" x14ac:dyDescent="0.15">
      <c r="A10" s="9">
        <v>45786</v>
      </c>
      <c r="B10" s="1" t="s">
        <v>114</v>
      </c>
      <c r="C10" s="1">
        <v>314969.8940000002</v>
      </c>
      <c r="D10" s="1">
        <v>90923.869999999981</v>
      </c>
      <c r="E10" s="1">
        <v>259724.15000000058</v>
      </c>
      <c r="F10" s="1">
        <v>12333</v>
      </c>
    </row>
    <row r="11" spans="1:6" x14ac:dyDescent="0.15">
      <c r="A11" s="9">
        <v>45787</v>
      </c>
      <c r="B11" s="1" t="s">
        <v>115</v>
      </c>
      <c r="C11" s="1">
        <v>154626.76700000002</v>
      </c>
      <c r="D11" s="1">
        <v>43695.119999999901</v>
      </c>
      <c r="E11" s="1">
        <v>131535.76999999993</v>
      </c>
      <c r="F11" s="1">
        <v>6242</v>
      </c>
    </row>
    <row r="12" spans="1:6" x14ac:dyDescent="0.15">
      <c r="A12" s="9">
        <v>45758</v>
      </c>
      <c r="B12" s="1" t="s">
        <v>114</v>
      </c>
      <c r="C12" s="1">
        <v>313215.11499999987</v>
      </c>
      <c r="D12" s="1">
        <v>85807.760000000038</v>
      </c>
      <c r="E12" s="1">
        <v>257640.30999999965</v>
      </c>
      <c r="F12" s="1">
        <v>12200</v>
      </c>
    </row>
    <row r="13" spans="1:6" x14ac:dyDescent="0.15">
      <c r="A13" s="9">
        <v>45759</v>
      </c>
      <c r="B13" s="1" t="s">
        <v>115</v>
      </c>
      <c r="C13" s="1">
        <v>128053.6569999998</v>
      </c>
      <c r="D13" s="1">
        <v>34229.400000000031</v>
      </c>
      <c r="E13" s="1">
        <v>108729.24999999996</v>
      </c>
      <c r="F13" s="1">
        <v>5184</v>
      </c>
    </row>
    <row r="14" spans="1:6" x14ac:dyDescent="0.15">
      <c r="A14" s="9">
        <v>45729</v>
      </c>
      <c r="B14" s="1" t="s">
        <v>114</v>
      </c>
      <c r="C14" s="1">
        <v>378034.97900000116</v>
      </c>
      <c r="D14" s="1">
        <v>103864.86000000066</v>
      </c>
      <c r="E14" s="1">
        <v>313077.83999999956</v>
      </c>
      <c r="F14" s="1">
        <v>14620</v>
      </c>
    </row>
    <row r="15" spans="1:6" x14ac:dyDescent="0.15">
      <c r="A15" s="9">
        <v>45730</v>
      </c>
      <c r="B15" s="1" t="s">
        <v>115</v>
      </c>
      <c r="C15" s="1">
        <v>117029.04000000001</v>
      </c>
      <c r="D15" s="1">
        <v>32598.449999999822</v>
      </c>
      <c r="E15" s="1">
        <v>96855.749999999985</v>
      </c>
      <c r="F15" s="1">
        <v>4269</v>
      </c>
    </row>
    <row r="16" spans="1:6" x14ac:dyDescent="0.15">
      <c r="A16" s="9">
        <v>45703</v>
      </c>
      <c r="B16" s="1" t="s">
        <v>114</v>
      </c>
      <c r="C16" s="1">
        <v>331528.76800000243</v>
      </c>
      <c r="D16" s="1">
        <v>91405.359999999753</v>
      </c>
      <c r="E16" s="1">
        <v>282724.03000000207</v>
      </c>
      <c r="F16" s="1">
        <v>12453</v>
      </c>
    </row>
    <row r="17" spans="1:6" x14ac:dyDescent="0.15">
      <c r="A17" s="9">
        <v>45704</v>
      </c>
      <c r="B17" s="1" t="s">
        <v>115</v>
      </c>
      <c r="C17" s="1">
        <v>117372.79800000023</v>
      </c>
      <c r="D17" s="1">
        <v>33138.799999999981</v>
      </c>
      <c r="E17" s="1">
        <v>100410.06999999996</v>
      </c>
      <c r="F17" s="1">
        <v>4014</v>
      </c>
    </row>
    <row r="18" spans="1:6" x14ac:dyDescent="0.15">
      <c r="A18" s="9">
        <v>45674</v>
      </c>
      <c r="B18" s="1" t="s">
        <v>114</v>
      </c>
      <c r="C18" s="1">
        <v>357204.47300000227</v>
      </c>
      <c r="D18" s="1">
        <v>100310.05999999963</v>
      </c>
      <c r="E18" s="1">
        <v>309264.79999999842</v>
      </c>
      <c r="F18" s="1">
        <v>13530</v>
      </c>
    </row>
    <row r="19" spans="1:6" x14ac:dyDescent="0.15">
      <c r="A19" s="9">
        <v>45675</v>
      </c>
      <c r="B19" s="1" t="s">
        <v>115</v>
      </c>
      <c r="C19" s="1">
        <v>105640.95199999987</v>
      </c>
      <c r="D19" s="1">
        <v>30164.00999999998</v>
      </c>
      <c r="E19" s="1">
        <v>90101.239999999947</v>
      </c>
      <c r="F19" s="1">
        <v>3698</v>
      </c>
    </row>
    <row r="20" spans="1:6" x14ac:dyDescent="0.15">
      <c r="A20" s="9">
        <v>45949</v>
      </c>
      <c r="B20" s="1" t="s">
        <v>114</v>
      </c>
      <c r="C20" s="1">
        <v>301582.70200000016</v>
      </c>
      <c r="D20" s="1">
        <v>97902.569999999643</v>
      </c>
      <c r="E20" s="1">
        <v>247239.2900000003</v>
      </c>
      <c r="F20" s="1">
        <v>12069</v>
      </c>
    </row>
    <row r="21" spans="1:6" x14ac:dyDescent="0.15">
      <c r="A21" s="9">
        <v>45950</v>
      </c>
      <c r="B21" s="1" t="s">
        <v>115</v>
      </c>
      <c r="C21" s="1">
        <v>127545.01999999973</v>
      </c>
      <c r="D21" s="1">
        <v>38459.639999999927</v>
      </c>
      <c r="E21" s="1">
        <v>105027.9499999999</v>
      </c>
      <c r="F21" s="1">
        <v>5138</v>
      </c>
    </row>
    <row r="22" spans="1:6" x14ac:dyDescent="0.15">
      <c r="A22" s="9">
        <v>45982</v>
      </c>
      <c r="B22" s="7" t="s">
        <v>114</v>
      </c>
      <c r="C22" s="7">
        <v>287248.82700000174</v>
      </c>
      <c r="D22" s="7">
        <v>90177.16999999978</v>
      </c>
      <c r="E22" s="7">
        <v>253681.00999999809</v>
      </c>
      <c r="F22" s="7">
        <v>11557</v>
      </c>
    </row>
    <row r="23" spans="1:6" x14ac:dyDescent="0.15">
      <c r="A23" s="9">
        <v>45983</v>
      </c>
      <c r="B23" s="7" t="s">
        <v>115</v>
      </c>
      <c r="C23" s="7">
        <v>119212.53399999966</v>
      </c>
      <c r="D23" s="7">
        <v>34819.880000000092</v>
      </c>
      <c r="E23" s="7">
        <v>104595.2699999998</v>
      </c>
      <c r="F23" s="7">
        <v>4943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2026-05-21T01:32:49Z</dcterms:modified>
</cp:coreProperties>
</file>