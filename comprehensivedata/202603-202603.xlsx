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S10" i="1" l="1"/>
  <c r="Q10" i="1" l="1"/>
  <c r="P10" i="1"/>
  <c r="S7" i="1"/>
  <c r="S6" i="1"/>
  <c r="S5" i="1"/>
  <c r="S8" i="1"/>
  <c r="Q8" i="1"/>
  <c r="P8" i="1"/>
</calcChain>
</file>

<file path=xl/sharedStrings.xml><?xml version="1.0" encoding="utf-8"?>
<sst xmlns="http://schemas.openxmlformats.org/spreadsheetml/2006/main" count="33" uniqueCount="32">
  <si>
    <t>综合业务数据汇总</t>
  </si>
  <si>
    <t>结算周期:2026年03月01日至03月31日</t>
  </si>
  <si>
    <t>区域</t>
  </si>
  <si>
    <t>车海洋洗车</t>
  </si>
  <si>
    <t>微信收款</t>
  </si>
  <si>
    <t>收钱吧</t>
  </si>
  <si>
    <t>兴元售货机</t>
  </si>
  <si>
    <t>快易洁洗车</t>
  </si>
  <si>
    <t>车颜知己全自动洗车(5-5分成)</t>
  </si>
  <si>
    <t>红门停车系统</t>
  </si>
  <si>
    <t>赛菲姆
停车系统</t>
  </si>
  <si>
    <t>合  计</t>
  </si>
  <si>
    <t>消费返还
(设备左)</t>
  </si>
  <si>
    <t>消费返还
(设备右)</t>
  </si>
  <si>
    <t>异地消费
返还</t>
  </si>
  <si>
    <t>充值返还</t>
  </si>
  <si>
    <t>卡费</t>
  </si>
  <si>
    <t>单片机</t>
  </si>
  <si>
    <t>消费返还</t>
  </si>
  <si>
    <t>设备(左)
收入</t>
  </si>
  <si>
    <t>设备(右)
收入</t>
  </si>
  <si>
    <t>水费</t>
  </si>
  <si>
    <t>电费</t>
  </si>
  <si>
    <t>临停缴费</t>
  </si>
  <si>
    <t>月卡缴费</t>
  </si>
  <si>
    <t>东  区</t>
  </si>
  <si>
    <t>西  区</t>
  </si>
  <si>
    <t>南  区</t>
  </si>
  <si>
    <t>四方坪站小计</t>
  </si>
  <si>
    <t>高  岭</t>
  </si>
  <si>
    <t>总  计</t>
  </si>
  <si>
    <t xml:space="preserve">单位：长沙飞狐电动汽车充电服务有限公司                                                                                             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</si>
</sst>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2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8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0"/>
  </cellStyleXfs>
  <cellXfs count="34">
    <xf numFmtId="0" fontId="0" fillId="0" borderId="0" xfId="0"/>
    <xf numFmtId="0" fontId="1" fillId="0" borderId="0" xfId="34">
      <alignment vertical="center"/>
    </xf>
    <xf numFmtId="0" fontId="1" fillId="0" borderId="10" xfId="34" applyBorder="1" applyAlignment="1">
      <alignment horizontal="center" vertical="center"/>
    </xf>
    <xf numFmtId="0" fontId="19" fillId="34" borderId="10" xfId="34" applyFont="1" applyFill="1" applyBorder="1" applyAlignment="1">
      <alignment horizontal="center" vertical="center"/>
    </xf>
    <xf numFmtId="0" fontId="19" fillId="35" borderId="10" xfId="34" applyFont="1" applyFill="1" applyBorder="1" applyAlignment="1">
      <alignment horizontal="center" vertical="center"/>
    </xf>
    <xf numFmtId="0" fontId="1" fillId="0" borderId="10" xfId="34" applyBorder="1" applyAlignment="1">
      <alignment horizontal="center" vertical="center" wrapText="1"/>
    </xf>
    <xf numFmtId="0" fontId="1" fillId="0" borderId="0" xfId="34" applyAlignment="1">
      <alignment horizontal="center" vertical="center" wrapText="1"/>
    </xf>
    <xf numFmtId="0" fontId="19" fillId="34" borderId="10" xfId="34" applyFont="1" applyFill="1" applyBorder="1" applyAlignment="1">
      <alignment vertical="center"/>
    </xf>
    <xf numFmtId="176" fontId="1" fillId="0" borderId="10" xfId="34" applyNumberFormat="1" applyBorder="1" applyAlignment="1">
      <alignment horizontal="center" vertical="center"/>
    </xf>
    <xf numFmtId="176" fontId="19" fillId="0" borderId="10" xfId="34" applyNumberFormat="1" applyFont="1" applyBorder="1" applyAlignment="1">
      <alignment horizontal="center" vertical="center"/>
    </xf>
    <xf numFmtId="176" fontId="19" fillId="34" borderId="10" xfId="34" applyNumberFormat="1" applyFont="1" applyFill="1" applyBorder="1" applyAlignment="1">
      <alignment horizontal="center" vertical="center"/>
    </xf>
    <xf numFmtId="177" fontId="19" fillId="34" borderId="10" xfId="34" applyNumberFormat="1" applyFont="1" applyFill="1" applyBorder="1" applyAlignment="1">
      <alignment horizontal="center" vertical="center"/>
    </xf>
    <xf numFmtId="177" fontId="19" fillId="35" borderId="13" xfId="34" applyNumberFormat="1" applyFont="1" applyFill="1" applyBorder="1" applyAlignment="1">
      <alignment horizontal="center" vertical="center"/>
    </xf>
    <xf numFmtId="177" fontId="19" fillId="34" borderId="10" xfId="34" applyNumberFormat="1" applyFont="1" applyFill="1" applyBorder="1" applyAlignment="1">
      <alignment vertical="center"/>
    </xf>
    <xf numFmtId="177" fontId="19" fillId="35" borderId="10" xfId="34" applyNumberFormat="1" applyFont="1" applyFill="1" applyBorder="1" applyAlignment="1">
      <alignment horizontal="center" vertical="center"/>
    </xf>
    <xf numFmtId="176" fontId="19" fillId="35" borderId="10" xfId="34" applyNumberFormat="1" applyFont="1" applyFill="1" applyBorder="1" applyAlignment="1">
      <alignment vertical="center"/>
    </xf>
    <xf numFmtId="177" fontId="19" fillId="35" borderId="10" xfId="34" applyNumberFormat="1" applyFont="1" applyFill="1" applyBorder="1" applyAlignment="1">
      <alignment vertical="center"/>
    </xf>
    <xf numFmtId="176" fontId="19" fillId="35" borderId="10" xfId="34" applyNumberFormat="1" applyFont="1" applyFill="1" applyBorder="1" applyAlignment="1">
      <alignment horizontal="center" vertical="center"/>
    </xf>
    <xf numFmtId="176" fontId="0" fillId="0" borderId="0" xfId="0" applyNumberFormat="1"/>
    <xf numFmtId="0" fontId="19" fillId="35" borderId="11" xfId="34" applyFont="1" applyFill="1" applyBorder="1" applyAlignment="1">
      <alignment horizontal="center" vertical="center"/>
    </xf>
    <xf numFmtId="0" fontId="19" fillId="35" borderId="12" xfId="34" applyFont="1" applyFill="1" applyBorder="1" applyAlignment="1">
      <alignment horizontal="center" vertical="center"/>
    </xf>
    <xf numFmtId="0" fontId="19" fillId="35" borderId="13" xfId="34" applyFont="1" applyFill="1" applyBorder="1" applyAlignment="1">
      <alignment horizontal="center" vertical="center"/>
    </xf>
    <xf numFmtId="0" fontId="19" fillId="34" borderId="11" xfId="34" applyFont="1" applyFill="1" applyBorder="1" applyAlignment="1">
      <alignment horizontal="center" vertical="center"/>
    </xf>
    <xf numFmtId="0" fontId="19" fillId="34" borderId="12" xfId="34" applyFont="1" applyFill="1" applyBorder="1" applyAlignment="1">
      <alignment horizontal="center" vertical="center"/>
    </xf>
    <xf numFmtId="0" fontId="19" fillId="34" borderId="13" xfId="34" applyFont="1" applyFill="1" applyBorder="1" applyAlignment="1">
      <alignment horizontal="center" vertical="center"/>
    </xf>
    <xf numFmtId="0" fontId="19" fillId="0" borderId="10" xfId="34" applyFont="1" applyBorder="1" applyAlignment="1">
      <alignment horizontal="center" vertical="center"/>
    </xf>
    <xf numFmtId="0" fontId="1" fillId="0" borderId="14" xfId="34" applyBorder="1" applyAlignment="1">
      <alignment horizontal="center" vertical="center"/>
    </xf>
    <xf numFmtId="0" fontId="1" fillId="0" borderId="15" xfId="34" applyBorder="1" applyAlignment="1">
      <alignment horizontal="center" vertical="center"/>
    </xf>
    <xf numFmtId="0" fontId="1" fillId="0" borderId="16" xfId="34" applyBorder="1" applyAlignment="1">
      <alignment horizontal="center" vertical="center"/>
    </xf>
    <xf numFmtId="0" fontId="1" fillId="0" borderId="14" xfId="34" applyBorder="1" applyAlignment="1">
      <alignment horizontal="center" vertical="center" wrapText="1"/>
    </xf>
    <xf numFmtId="0" fontId="19" fillId="33" borderId="0" xfId="34" applyFont="1" applyFill="1" applyAlignment="1">
      <alignment horizontal="center" vertical="center"/>
    </xf>
    <xf numFmtId="0" fontId="1" fillId="0" borderId="10" xfId="34" applyBorder="1" applyAlignment="1">
      <alignment horizontal="center" vertical="center"/>
    </xf>
    <xf numFmtId="14" fontId="19" fillId="0" borderId="17" xfId="34" applyNumberFormat="1" applyFont="1" applyBorder="1" applyAlignment="1">
      <alignment horizontal="left" vertical="center"/>
    </xf>
    <xf numFmtId="0" fontId="19" fillId="0" borderId="17" xfId="34" applyFont="1" applyBorder="1" applyAlignment="1">
      <alignment horizontal="center" vertical="center"/>
    </xf>
  </cellXfs>
  <cellStyles count="45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8"/>
    <cellStyle name="60% - 着色 2 2" xfId="39"/>
    <cellStyle name="60% - 着色 3 2" xfId="40"/>
    <cellStyle name="60% - 着色 4 2" xfId="41"/>
    <cellStyle name="60% - 着色 5 2" xfId="42"/>
    <cellStyle name="60% - 着色 6 2" xfId="43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35"/>
    <cellStyle name="常规 3" xfId="44"/>
    <cellStyle name="常规 4" xfId="34"/>
    <cellStyle name="好" xfId="6" builtinId="26" customBuiltin="1"/>
    <cellStyle name="汇总" xfId="15" builtinId="25" customBuiltin="1"/>
    <cellStyle name="计算" xfId="10" builtinId="22" customBuiltin="1"/>
    <cellStyle name="检查单元格" xfId="12" builtinId="23" customBuiltin="1"/>
    <cellStyle name="解释性文本" xfId="14" builtinId="53" customBuiltin="1"/>
    <cellStyle name="警告文本" xfId="13" builtinId="11" customBuiltin="1"/>
    <cellStyle name="链接单元格" xfId="11" builtinId="24" customBuiltin="1"/>
    <cellStyle name="适中 2" xfId="36"/>
    <cellStyle name="输出" xfId="9" builtinId="21" customBuiltin="1"/>
    <cellStyle name="输入" xfId="8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 2" xfId="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U9" sqref="U9"/>
    </sheetView>
  </sheetViews>
  <sheetFormatPr defaultRowHeight="13.5" x14ac:dyDescent="0.15"/>
  <cols>
    <col min="1" max="1" width="13.125" customWidth="1"/>
    <col min="12" max="12" width="10.5" bestFit="1" customWidth="1"/>
    <col min="16" max="16" width="12" bestFit="1" customWidth="1"/>
    <col min="17" max="17" width="11.5" customWidth="1"/>
    <col min="19" max="19" width="14.125" customWidth="1"/>
  </cols>
  <sheetData>
    <row r="1" spans="1:19" ht="37.5" customHeight="1" x14ac:dyDescent="0.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37.5" customHeight="1" x14ac:dyDescent="0.15">
      <c r="A2" s="33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2" t="s">
        <v>1</v>
      </c>
      <c r="Q2" s="32"/>
      <c r="R2" s="32"/>
      <c r="S2" s="32"/>
    </row>
    <row r="3" spans="1:19" ht="37.5" customHeight="1" x14ac:dyDescent="0.15">
      <c r="A3" s="31" t="s">
        <v>2</v>
      </c>
      <c r="B3" s="31" t="s">
        <v>3</v>
      </c>
      <c r="C3" s="31"/>
      <c r="D3" s="31"/>
      <c r="E3" s="31"/>
      <c r="F3" s="31"/>
      <c r="G3" s="26" t="s">
        <v>4</v>
      </c>
      <c r="H3" s="26" t="s">
        <v>5</v>
      </c>
      <c r="I3" s="2" t="s">
        <v>6</v>
      </c>
      <c r="J3" s="31" t="s">
        <v>7</v>
      </c>
      <c r="K3" s="31"/>
      <c r="L3" s="31" t="s">
        <v>8</v>
      </c>
      <c r="M3" s="31"/>
      <c r="N3" s="31"/>
      <c r="O3" s="31"/>
      <c r="P3" s="31" t="s">
        <v>9</v>
      </c>
      <c r="Q3" s="31"/>
      <c r="R3" s="29" t="s">
        <v>10</v>
      </c>
      <c r="S3" s="25" t="s">
        <v>11</v>
      </c>
    </row>
    <row r="4" spans="1:19" ht="37.5" customHeight="1" x14ac:dyDescent="0.15">
      <c r="A4" s="31"/>
      <c r="B4" s="5" t="s">
        <v>12</v>
      </c>
      <c r="C4" s="6" t="s">
        <v>13</v>
      </c>
      <c r="D4" s="5" t="s">
        <v>14</v>
      </c>
      <c r="E4" s="2" t="s">
        <v>15</v>
      </c>
      <c r="F4" s="2" t="s">
        <v>16</v>
      </c>
      <c r="G4" s="28"/>
      <c r="H4" s="28"/>
      <c r="I4" s="2" t="s">
        <v>17</v>
      </c>
      <c r="J4" s="2" t="s">
        <v>18</v>
      </c>
      <c r="K4" s="2" t="s">
        <v>15</v>
      </c>
      <c r="L4" s="5" t="s">
        <v>19</v>
      </c>
      <c r="M4" s="5" t="s">
        <v>20</v>
      </c>
      <c r="N4" s="2" t="s">
        <v>21</v>
      </c>
      <c r="O4" s="2" t="s">
        <v>22</v>
      </c>
      <c r="P4" s="2" t="s">
        <v>23</v>
      </c>
      <c r="Q4" s="2" t="s">
        <v>24</v>
      </c>
      <c r="R4" s="28"/>
      <c r="S4" s="25"/>
    </row>
    <row r="5" spans="1:19" ht="37.5" customHeight="1" x14ac:dyDescent="0.15">
      <c r="A5" s="2" t="s">
        <v>25</v>
      </c>
      <c r="B5" s="2">
        <v>708.98</v>
      </c>
      <c r="C5" s="2">
        <v>394.37</v>
      </c>
      <c r="D5" s="26">
        <v>-368.02</v>
      </c>
      <c r="E5" s="26">
        <v>3696</v>
      </c>
      <c r="F5" s="26"/>
      <c r="G5" s="2">
        <v>2110</v>
      </c>
      <c r="H5" s="2"/>
      <c r="I5" s="2">
        <v>1609.3</v>
      </c>
      <c r="J5" s="2"/>
      <c r="K5" s="2"/>
      <c r="L5" s="2"/>
      <c r="M5" s="2"/>
      <c r="N5" s="2"/>
      <c r="O5" s="2"/>
      <c r="P5" s="8">
        <v>3820</v>
      </c>
      <c r="Q5" s="8">
        <v>4180</v>
      </c>
      <c r="R5" s="8"/>
      <c r="S5" s="9">
        <f>B5+C5+G5+I5+P5+Q5</f>
        <v>12822.65</v>
      </c>
    </row>
    <row r="6" spans="1:19" ht="37.5" customHeight="1" x14ac:dyDescent="0.15">
      <c r="A6" s="2" t="s">
        <v>26</v>
      </c>
      <c r="B6" s="2">
        <v>271.95999999999998</v>
      </c>
      <c r="C6" s="2">
        <v>446.47</v>
      </c>
      <c r="D6" s="27"/>
      <c r="E6" s="27"/>
      <c r="F6" s="27"/>
      <c r="G6" s="2"/>
      <c r="H6" s="2"/>
      <c r="I6" s="2"/>
      <c r="J6" s="2"/>
      <c r="K6" s="2"/>
      <c r="L6" s="2"/>
      <c r="M6" s="2"/>
      <c r="N6" s="2"/>
      <c r="O6" s="2"/>
      <c r="P6" s="8">
        <v>3540</v>
      </c>
      <c r="Q6" s="8">
        <v>6120</v>
      </c>
      <c r="R6" s="8"/>
      <c r="S6" s="9">
        <f>B6+C6+D5+E5+P6+Q6</f>
        <v>13706.41</v>
      </c>
    </row>
    <row r="7" spans="1:19" ht="37.5" customHeight="1" x14ac:dyDescent="0.15">
      <c r="A7" s="2" t="s">
        <v>27</v>
      </c>
      <c r="B7" s="2">
        <v>313.60000000000002</v>
      </c>
      <c r="C7" s="2">
        <v>296.24</v>
      </c>
      <c r="D7" s="28"/>
      <c r="E7" s="28"/>
      <c r="F7" s="28"/>
      <c r="G7" s="2"/>
      <c r="H7" s="2"/>
      <c r="I7" s="2"/>
      <c r="J7" s="2"/>
      <c r="K7" s="2"/>
      <c r="L7" s="2"/>
      <c r="M7" s="2"/>
      <c r="N7" s="2"/>
      <c r="O7" s="2"/>
      <c r="P7" s="8">
        <v>3480</v>
      </c>
      <c r="Q7" s="8">
        <v>2440</v>
      </c>
      <c r="R7" s="8"/>
      <c r="S7" s="9">
        <f>B7+C7+P7+Q7</f>
        <v>6529.84</v>
      </c>
    </row>
    <row r="8" spans="1:19" ht="37.5" customHeight="1" x14ac:dyDescent="0.15">
      <c r="A8" s="3" t="s">
        <v>28</v>
      </c>
      <c r="B8" s="22">
        <v>5759.6</v>
      </c>
      <c r="C8" s="23"/>
      <c r="D8" s="23"/>
      <c r="E8" s="23"/>
      <c r="F8" s="24"/>
      <c r="G8" s="3">
        <v>2110</v>
      </c>
      <c r="H8" s="11">
        <v>0</v>
      </c>
      <c r="I8" s="3">
        <v>1609.3</v>
      </c>
      <c r="J8" s="3"/>
      <c r="K8" s="3"/>
      <c r="L8" s="3"/>
      <c r="M8" s="3"/>
      <c r="N8" s="3"/>
      <c r="O8" s="3"/>
      <c r="P8" s="10">
        <f>P5+P6+P7</f>
        <v>10840</v>
      </c>
      <c r="Q8" s="11">
        <f>Q7+Q6+Q5</f>
        <v>12740</v>
      </c>
      <c r="R8" s="11">
        <v>0</v>
      </c>
      <c r="S8" s="10">
        <f>9478.9+P8+Q8</f>
        <v>33058.9</v>
      </c>
    </row>
    <row r="9" spans="1:19" ht="37.5" customHeight="1" x14ac:dyDescent="0.15">
      <c r="A9" s="3" t="s">
        <v>29</v>
      </c>
      <c r="B9" s="22"/>
      <c r="C9" s="23"/>
      <c r="D9" s="23"/>
      <c r="E9" s="23"/>
      <c r="F9" s="24"/>
      <c r="G9" s="7"/>
      <c r="H9" s="13"/>
      <c r="I9" s="3">
        <v>591.1</v>
      </c>
      <c r="J9" s="3">
        <v>788.87</v>
      </c>
      <c r="K9" s="3">
        <v>815</v>
      </c>
      <c r="L9" s="3">
        <v>7190</v>
      </c>
      <c r="M9" s="3">
        <v>6393.9</v>
      </c>
      <c r="N9" s="3">
        <v>3734.25</v>
      </c>
      <c r="O9" s="3">
        <v>1187.7</v>
      </c>
      <c r="P9" s="3"/>
      <c r="Q9" s="3"/>
      <c r="R9" s="3"/>
      <c r="S9" s="3">
        <v>11447.9</v>
      </c>
    </row>
    <row r="10" spans="1:19" ht="37.5" customHeight="1" x14ac:dyDescent="0.15">
      <c r="A10" s="4" t="s">
        <v>30</v>
      </c>
      <c r="B10" s="19">
        <v>5759.6</v>
      </c>
      <c r="C10" s="20"/>
      <c r="D10" s="20"/>
      <c r="E10" s="20"/>
      <c r="F10" s="21"/>
      <c r="G10" s="4">
        <v>2110</v>
      </c>
      <c r="H10" s="14">
        <v>0</v>
      </c>
      <c r="I10" s="4">
        <v>2200.4</v>
      </c>
      <c r="J10" s="19">
        <v>1603.87</v>
      </c>
      <c r="K10" s="21"/>
      <c r="L10" s="19">
        <v>9252.93</v>
      </c>
      <c r="M10" s="20"/>
      <c r="N10" s="20"/>
      <c r="O10" s="21"/>
      <c r="P10" s="15">
        <f>P8</f>
        <v>10840</v>
      </c>
      <c r="Q10" s="16">
        <f>Q8</f>
        <v>12740</v>
      </c>
      <c r="R10" s="12">
        <v>0</v>
      </c>
      <c r="S10" s="17">
        <f>S8+S9</f>
        <v>44506.8</v>
      </c>
    </row>
    <row r="14" spans="1:19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15">
      <c r="L15" s="18"/>
    </row>
  </sheetData>
  <mergeCells count="20">
    <mergeCell ref="A1:S1"/>
    <mergeCell ref="A3:A4"/>
    <mergeCell ref="J3:K3"/>
    <mergeCell ref="B3:F3"/>
    <mergeCell ref="L3:O3"/>
    <mergeCell ref="P3:Q3"/>
    <mergeCell ref="P2:S2"/>
    <mergeCell ref="A2:O2"/>
    <mergeCell ref="B10:F10"/>
    <mergeCell ref="B9:F9"/>
    <mergeCell ref="J10:K10"/>
    <mergeCell ref="S3:S4"/>
    <mergeCell ref="L10:O10"/>
    <mergeCell ref="D5:D7"/>
    <mergeCell ref="E5:E7"/>
    <mergeCell ref="F5:F7"/>
    <mergeCell ref="B8:F8"/>
    <mergeCell ref="R3:R4"/>
    <mergeCell ref="G3:G4"/>
    <mergeCell ref="H3:H4"/>
  </mergeCells>
  <phoneticPr fontId="2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2026-04-03T07:50:43Z</dcterms:modified>
</cp:coreProperties>
</file>